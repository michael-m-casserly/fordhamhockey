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7" sheetId="1" r:id="rId4"/>
    <sheet state="visible" name="26" sheetId="2" r:id="rId5"/>
    <sheet state="visible" name="25" sheetId="3" r:id="rId6"/>
    <sheet state="visible" name="24" sheetId="4" r:id="rId7"/>
    <sheet state="visible" name="23" sheetId="5" r:id="rId8"/>
    <sheet state="visible" name="22" sheetId="6" r:id="rId9"/>
    <sheet state="visible" name="21" sheetId="7" r:id="rId10"/>
    <sheet state="visible" name="20" sheetId="8" r:id="rId11"/>
    <sheet state="visible" name="19" sheetId="9" r:id="rId12"/>
    <sheet state="visible" name="18" sheetId="10" r:id="rId13"/>
    <sheet state="visible" name="17" sheetId="11" r:id="rId14"/>
    <sheet state="visible" name="16" sheetId="12" r:id="rId15"/>
    <sheet state="visible" name="15" sheetId="13" r:id="rId16"/>
    <sheet state="visible" name="14" sheetId="14" r:id="rId17"/>
    <sheet state="visible" name="13" sheetId="15" r:id="rId18"/>
    <sheet state="visible" name="12" sheetId="16" r:id="rId19"/>
    <sheet state="visible" name="11" sheetId="17" r:id="rId20"/>
    <sheet state="visible" name="10" sheetId="18" r:id="rId21"/>
    <sheet state="visible" name="09" sheetId="19" r:id="rId22"/>
    <sheet state="visible" name="08" sheetId="20" r:id="rId23"/>
    <sheet state="visible" name="07" sheetId="21" r:id="rId24"/>
    <sheet state="visible" name="06" sheetId="22" r:id="rId25"/>
    <sheet state="visible" name="05" sheetId="23" r:id="rId26"/>
    <sheet state="visible" name="04" sheetId="24" r:id="rId27"/>
    <sheet state="visible" name="03" sheetId="25" r:id="rId28"/>
    <sheet state="visible" name="02" sheetId="26" r:id="rId29"/>
    <sheet state="visible" name="01" sheetId="27" r:id="rId30"/>
    <sheet state="visible" name="2000" sheetId="28" r:id="rId31"/>
    <sheet state="visible" name="1999" sheetId="29" r:id="rId32"/>
    <sheet state="visible" name="98" sheetId="30" r:id="rId33"/>
    <sheet state="visible" name="97" sheetId="31" r:id="rId34"/>
    <sheet state="visible" name="96" sheetId="32" r:id="rId35"/>
    <sheet state="visible" name="95" sheetId="33" r:id="rId36"/>
    <sheet state="visible" name="94" sheetId="34" r:id="rId37"/>
    <sheet state="visible" name="93" sheetId="35" r:id="rId38"/>
    <sheet state="visible" name="92" sheetId="36" r:id="rId39"/>
    <sheet state="visible" name="91" sheetId="37" r:id="rId40"/>
    <sheet state="visible" name="90" sheetId="38" r:id="rId41"/>
    <sheet state="visible" name="89" sheetId="39" r:id="rId42"/>
    <sheet state="visible" name="88" sheetId="40" r:id="rId43"/>
    <sheet state="visible" name="87" sheetId="41" r:id="rId44"/>
    <sheet state="visible" name="86" sheetId="42" r:id="rId45"/>
    <sheet state="visible" name="85" sheetId="43" r:id="rId46"/>
    <sheet state="visible" name="84" sheetId="44" r:id="rId47"/>
    <sheet state="visible" name="83" sheetId="45" r:id="rId48"/>
    <sheet state="visible" name="82" sheetId="46" r:id="rId49"/>
    <sheet state="visible" name="81" sheetId="47" r:id="rId50"/>
  </sheets>
  <definedNames/>
  <calcPr/>
</workbook>
</file>

<file path=xl/sharedStrings.xml><?xml version="1.0" encoding="utf-8"?>
<sst xmlns="http://schemas.openxmlformats.org/spreadsheetml/2006/main" count="5908" uniqueCount="605">
  <si>
    <t>Overall Record:</t>
  </si>
  <si>
    <t>League Record:</t>
  </si>
  <si>
    <t>Wins-Losses-Ties-Overtime Losses</t>
  </si>
  <si>
    <t>Notes</t>
  </si>
  <si>
    <t>League</t>
  </si>
  <si>
    <t>2026-27 REGULAR SEASON</t>
  </si>
  <si>
    <t>2024-25 REGULAR SEASON</t>
  </si>
  <si>
    <t>Date</t>
  </si>
  <si>
    <t>GF</t>
  </si>
  <si>
    <t>GA</t>
  </si>
  <si>
    <t>Res</t>
  </si>
  <si>
    <t>Opponent</t>
  </si>
  <si>
    <t>Rink/Location</t>
  </si>
  <si>
    <t>SEP</t>
  </si>
  <si>
    <t>Box Score</t>
  </si>
  <si>
    <t>Hofstra</t>
  </si>
  <si>
    <t>Ice Hutch / Mount Vernon, NY</t>
  </si>
  <si>
    <t>OCT</t>
  </si>
  <si>
    <t>@Sacred Heart</t>
  </si>
  <si>
    <t>W</t>
  </si>
  <si>
    <t>Martire Arena / Danbury, CT</t>
  </si>
  <si>
    <t>Hofstra D3*</t>
  </si>
  <si>
    <t>Ramapo*</t>
  </si>
  <si>
    <t>@Columbia</t>
  </si>
  <si>
    <t>World Ice Arena / Flushing, NY</t>
  </si>
  <si>
    <t>Stony Brook</t>
  </si>
  <si>
    <t>L</t>
  </si>
  <si>
    <t>@Farmingdale D1*</t>
  </si>
  <si>
    <t>Farmingdale*</t>
  </si>
  <si>
    <t>Northwell / East Meadow, NY</t>
  </si>
  <si>
    <t>2025-26 REGULAR SEASON</t>
  </si>
  <si>
    <t>@Stony Brook</t>
  </si>
  <si>
    <t>The Rinx / Happauge, NY</t>
  </si>
  <si>
    <t>Rutgers</t>
  </si>
  <si>
    <t>NOV</t>
  </si>
  <si>
    <t>STAC</t>
  </si>
  <si>
    <t>2023-24 REGULAR SEASON</t>
  </si>
  <si>
    <t>Sacred Heart</t>
  </si>
  <si>
    <t>Fairfield</t>
  </si>
  <si>
    <t>@Hofstra</t>
  </si>
  <si>
    <t>OT</t>
  </si>
  <si>
    <t>Sacred Heart D2</t>
  </si>
  <si>
    <t>Video</t>
  </si>
  <si>
    <t>Freeport Rec Ctr / Freeport, NY</t>
  </si>
  <si>
    <t>New Haven D3</t>
  </si>
  <si>
    <t>Keystone Classic</t>
  </si>
  <si>
    <t>Rutgers D3*</t>
  </si>
  <si>
    <t>Ice Line / West Chester, PA</t>
  </si>
  <si>
    <t>OTL</t>
  </si>
  <si>
    <t>@Ramapo D2</t>
  </si>
  <si>
    <t>Ice Vault / Wayne, NJ</t>
  </si>
  <si>
    <t>Stevens*</t>
  </si>
  <si>
    <t>@ Stony Brook D2*</t>
  </si>
  <si>
    <t>U Pitt Johnstown*</t>
  </si>
  <si>
    <t>Quinnipiac D1*</t>
  </si>
  <si>
    <t>Farmingdale D2*</t>
  </si>
  <si>
    <t>Farmingdale D2</t>
  </si>
  <si>
    <t>St. Vincent*</t>
  </si>
  <si>
    <t>PSU Harrisburg*</t>
  </si>
  <si>
    <t>@STAC (ACHA)*</t>
  </si>
  <si>
    <t>Delaware D1*</t>
  </si>
  <si>
    <t>DEC</t>
  </si>
  <si>
    <t>Sport-o-Rama / Monsey, NY</t>
  </si>
  <si>
    <t>@Farmingdale</t>
  </si>
  <si>
    <t>Ice Works / Syosset, NY</t>
  </si>
  <si>
    <t>Farmingdale</t>
  </si>
  <si>
    <t>Columbia D2</t>
  </si>
  <si>
    <t>Maritime</t>
  </si>
  <si>
    <t>JAN</t>
  </si>
  <si>
    <t>Columbia</t>
  </si>
  <si>
    <t>PSU-Harrisburg D2</t>
  </si>
  <si>
    <t>@Fairfield</t>
  </si>
  <si>
    <t>Shelton Rinks / Shelton, CT</t>
  </si>
  <si>
    <t>T</t>
  </si>
  <si>
    <t>FEB</t>
  </si>
  <si>
    <t>Quinnipiac</t>
  </si>
  <si>
    <t>@New Haven</t>
  </si>
  <si>
    <t>Northford Arena / Northford, CT</t>
  </si>
  <si>
    <t>Stony Brook D2*</t>
  </si>
  <si>
    <t>Sacred Heart D3*</t>
  </si>
  <si>
    <t>Rye Playland / Rye, NY</t>
  </si>
  <si>
    <t>@Rutgers</t>
  </si>
  <si>
    <t>ProSkate / Monmouth Junction, NJ</t>
  </si>
  <si>
    <t>Seton Hall</t>
  </si>
  <si>
    <t>STAC (ACHA)*</t>
  </si>
  <si>
    <t>NYCHC*</t>
  </si>
  <si>
    <t>@STAC</t>
  </si>
  <si>
    <t>Sport-O-Rama / Monsey, NY</t>
  </si>
  <si>
    <t>PSU-Harrisburg D2*</t>
  </si>
  <si>
    <t>@New Haven D3</t>
  </si>
  <si>
    <t>2027 MCHC PLAYOFFS</t>
  </si>
  <si>
    <t>Northford Pavilion / Northford, CT</t>
  </si>
  <si>
    <t>TBD</t>
  </si>
  <si>
    <t>Kutztown D2</t>
  </si>
  <si>
    <t>@Ramapo</t>
  </si>
  <si>
    <t>Quarter-Finals</t>
  </si>
  <si>
    <t>Semi-Finals</t>
  </si>
  <si>
    <t>@Farmingdale D2</t>
  </si>
  <si>
    <t>@Columbia D2</t>
  </si>
  <si>
    <t>Finals</t>
  </si>
  <si>
    <t>Ramapo</t>
  </si>
  <si>
    <t>2025 AAU NATIONALS</t>
  </si>
  <si>
    <t>Twin Ponds / Harrisburg, PA</t>
  </si>
  <si>
    <t>Neumann D2*</t>
  </si>
  <si>
    <t>MARCH 16 - 23, 2025</t>
  </si>
  <si>
    <t>Jacksonville, FL</t>
  </si>
  <si>
    <t>MAR</t>
  </si>
  <si>
    <t>Rinks at Shelton / Shelton, CT</t>
  </si>
  <si>
    <t>GF/GA - Season Totals:</t>
  </si>
  <si>
    <t>@Fairfield D3*</t>
  </si>
  <si>
    <t>@Stevens*</t>
  </si>
  <si>
    <t>Barnabas Health / Newark , NJ</t>
  </si>
  <si>
    <t xml:space="preserve">* Non League Games / </t>
  </si>
  <si>
    <t>@Sacred Heart (ACHA)*</t>
  </si>
  <si>
    <t>East Coast Showdown</t>
  </si>
  <si>
    <t>Fairfield D3*</t>
  </si>
  <si>
    <t>** Forfeit</t>
  </si>
  <si>
    <t>@Sacred Heart D2</t>
  </si>
  <si>
    <t>CANCELLED</t>
  </si>
  <si>
    <t>Martire Arena / Fairfield, CT</t>
  </si>
  <si>
    <t>@Rutgers D3*</t>
  </si>
  <si>
    <t>Ice Works / Aston, PA</t>
  </si>
  <si>
    <t>@Kutztown D2</t>
  </si>
  <si>
    <t>The Campus / Downingtown, PA</t>
  </si>
  <si>
    <t>@Delaware</t>
  </si>
  <si>
    <t>Gold Ice Arena / Newark, DE</t>
  </si>
  <si>
    <t>@ Kutztown*</t>
  </si>
  <si>
    <t>@Salisbury*</t>
  </si>
  <si>
    <t>2026 EMPIRE PLAYOFFS</t>
  </si>
  <si>
    <t>@Neumann*</t>
  </si>
  <si>
    <t>@Penn St. Harrisburg*</t>
  </si>
  <si>
    <t>@Paul Smith*</t>
  </si>
  <si>
    <t>@WestConn*</t>
  </si>
  <si>
    <t>@Quinnipiac D1*</t>
  </si>
  <si>
    <t>Danbury Arena / Danbury, CT</t>
  </si>
  <si>
    <t>New Haven D3*</t>
  </si>
  <si>
    <t>Englewood F. C. / Englewood, NJ</t>
  </si>
  <si>
    <t>Gold Arena / Newark, DE</t>
  </si>
  <si>
    <t>Ramapo D2</t>
  </si>
  <si>
    <t>@Hofstra D3*</t>
  </si>
  <si>
    <t>Freeport Arena / Freeport, NY</t>
  </si>
  <si>
    <t>Cancelled</t>
  </si>
  <si>
    <t>2022-23 REGULAR SEASON</t>
  </si>
  <si>
    <t>Eisenhower Park / East Meadow, NY</t>
  </si>
  <si>
    <t>Stevens D3*</t>
  </si>
  <si>
    <t>2025 EMPIRE PLAYOFFS</t>
  </si>
  <si>
    <t>*Hofstra</t>
  </si>
  <si>
    <t>High Point*</t>
  </si>
  <si>
    <t>Englewood Field Club / Englewood, NJ</t>
  </si>
  <si>
    <t>Ramapo^</t>
  </si>
  <si>
    <t>Eisenhower Park, East Meadow, NY</t>
  </si>
  <si>
    <t>@Fairfield^</t>
  </si>
  <si>
    <t>*Stony Brook</t>
  </si>
  <si>
    <t>^Only 1st two games count as League</t>
  </si>
  <si>
    <t>*Penn St. Harrisburg</t>
  </si>
  <si>
    <t>Sacred Heart*</t>
  </si>
  <si>
    <t>2021-22 REGULAR SEASON</t>
  </si>
  <si>
    <t>*@Sacred Heart</t>
  </si>
  <si>
    <t>@Farmingdale D2*</t>
  </si>
  <si>
    <t>Iceworks / Syosset, NY</t>
  </si>
  <si>
    <t>*Sacred Heart</t>
  </si>
  <si>
    <t>2020-21 Season was Cancelled Due to COVID-19</t>
  </si>
  <si>
    <t>@Quinnipiac</t>
  </si>
  <si>
    <t>@ Ramapo</t>
  </si>
  <si>
    <t>*@Columbia</t>
  </si>
  <si>
    <t>Farmingdale^</t>
  </si>
  <si>
    <t>@ Farmingdale</t>
  </si>
  <si>
    <t>@Penn St. Harrisburg</t>
  </si>
  <si>
    <t>@Quinnipiac^</t>
  </si>
  <si>
    <t>2024 EMPIRE PLAYOFFS</t>
  </si>
  <si>
    <t>Ice Hutch / Mt Vernon, NY</t>
  </si>
  <si>
    <t>@Kutztown</t>
  </si>
  <si>
    <t>@Neumann</t>
  </si>
  <si>
    <t>2024 AAU NATIONALS</t>
  </si>
  <si>
    <t>@ Southern CT</t>
  </si>
  <si>
    <t>MARCH 6 - 10, 2024</t>
  </si>
  <si>
    <t>2019-20 REGULAR SEASON</t>
  </si>
  <si>
    <t>Wonderland of Ice / Bridgeport, CT</t>
  </si>
  <si>
    <t>Aston Tournament</t>
  </si>
  <si>
    <t>Niagra</t>
  </si>
  <si>
    <t>*@Hofstra</t>
  </si>
  <si>
    <t>Hofstra*</t>
  </si>
  <si>
    <t>Southern CT</t>
  </si>
  <si>
    <t>South Carolina</t>
  </si>
  <si>
    <t xml:space="preserve">     Suffolk*</t>
  </si>
  <si>
    <t>Salisbury*</t>
  </si>
  <si>
    <t>@ Fairfield</t>
  </si>
  <si>
    <t xml:space="preserve">   Kutztown*</t>
  </si>
  <si>
    <t>*Farmingdale</t>
  </si>
  <si>
    <t>@ Kutztown</t>
  </si>
  <si>
    <t>2023 EMPIRE PLAYOFFS</t>
  </si>
  <si>
    <t>@ Mass Maritime</t>
  </si>
  <si>
    <t xml:space="preserve"> </t>
  </si>
  <si>
    <t>2023 CHF NATIONALS</t>
  </si>
  <si>
    <t>@ Penn - Harrisburg</t>
  </si>
  <si>
    <t>MARCH 10 - 15, 2023</t>
  </si>
  <si>
    <t>@ Liberty</t>
  </si>
  <si>
    <t>@ South Carolina</t>
  </si>
  <si>
    <t>Columbia*</t>
  </si>
  <si>
    <t>@ Alabama</t>
  </si>
  <si>
    <t>2018-19 CHAMPIONSHIP SEASON</t>
  </si>
  <si>
    <t>Date / Opponent</t>
  </si>
  <si>
    <t>Result</t>
  </si>
  <si>
    <t>@ Quinnipiac</t>
  </si>
  <si>
    <t>People's United Center / Hamden, CT</t>
  </si>
  <si>
    <t>SEPTEMBER</t>
  </si>
  <si>
    <t>@ Hofstra</t>
  </si>
  <si>
    <t>@ Stony Brook*</t>
  </si>
  <si>
    <t>@ Stevens*</t>
  </si>
  <si>
    <t>Empire Classic</t>
  </si>
  <si>
    <t>@ Hofstra*</t>
  </si>
  <si>
    <t>Revolution Gardens / Warminster, PA</t>
  </si>
  <si>
    <t>@ Salisbury*</t>
  </si>
  <si>
    <t>@ Stony Brook</t>
  </si>
  <si>
    <t>@ Quinnipiac*</t>
  </si>
  <si>
    <t xml:space="preserve">  Delaware*</t>
  </si>
  <si>
    <t>OCTOBER</t>
  </si>
  <si>
    <t>@ Southern Conn*</t>
  </si>
  <si>
    <t>Lou Astorino Arena / Hamden, CT</t>
  </si>
  <si>
    <t>Cal U. of PA*</t>
  </si>
  <si>
    <t>@ STAC</t>
  </si>
  <si>
    <t>PPD</t>
  </si>
  <si>
    <t>Stockton*</t>
  </si>
  <si>
    <t>2022 EMPIRE PLAYOFFS</t>
  </si>
  <si>
    <t>NOVEMBER</t>
  </si>
  <si>
    <t>@ Maritime</t>
  </si>
  <si>
    <t>World Ice / Flushing , NY</t>
  </si>
  <si>
    <t>Suffolk</t>
  </si>
  <si>
    <t>@ Delaware*</t>
  </si>
  <si>
    <t>@ Fairfield*</t>
  </si>
  <si>
    <t>2022 CHF NATIONALS</t>
  </si>
  <si>
    <t>MARCH 18 - 23, 2022</t>
  </si>
  <si>
    <t>@ Binghamton</t>
  </si>
  <si>
    <t>Rinks At Shelton / Shelton, CT</t>
  </si>
  <si>
    <t>2020 EMPIRE PLAYOFFS</t>
  </si>
  <si>
    <t>2017-18 REGULAR SEASON</t>
  </si>
  <si>
    <t>@ Farmingdale*</t>
  </si>
  <si>
    <t>@ George Mason*</t>
  </si>
  <si>
    <t>@ Cal U Of PA*</t>
  </si>
  <si>
    <t>DATE</t>
  </si>
  <si>
    <t>OPPONENT</t>
  </si>
  <si>
    <t>RINK/LOCATION</t>
  </si>
  <si>
    <t>DECEMBER</t>
  </si>
  <si>
    <t>2020 CHF NATIONALS</t>
  </si>
  <si>
    <t>Fordham #6 Nationally Ranked</t>
  </si>
  <si>
    <t>SEP*</t>
  </si>
  <si>
    <t>Southern Conn*</t>
  </si>
  <si>
    <t>@ Salisbury</t>
  </si>
  <si>
    <t>@ Columbia</t>
  </si>
  <si>
    <t>Binghamton</t>
  </si>
  <si>
    <t>@ Widener</t>
  </si>
  <si>
    <t>#1 Nationally Ranked</t>
  </si>
  <si>
    <t>JANUARY</t>
  </si>
  <si>
    <t>@ Stevens</t>
  </si>
  <si>
    <t>AmeriHealth Pavilion / Newark, NJ</t>
  </si>
  <si>
    <t>@ LaSalle</t>
  </si>
  <si>
    <t>FEBRUARY</t>
  </si>
  <si>
    <t>Kings Point</t>
  </si>
  <si>
    <t>@ Suffolk</t>
  </si>
  <si>
    <t>Dix Hills Arena / Dix Hills, NY</t>
  </si>
  <si>
    <t>Kutztown</t>
  </si>
  <si>
    <t>#18 Nationally Ranked</t>
  </si>
  <si>
    <t>Fairfield*</t>
  </si>
  <si>
    <t>OCT*</t>
  </si>
  <si>
    <t>Fairfield**</t>
  </si>
  <si>
    <t>Forfeit</t>
  </si>
  <si>
    <t>@ Kings Point</t>
  </si>
  <si>
    <t>Parkwood Arena / Great Neck, NY</t>
  </si>
  <si>
    <t>Catholic</t>
  </si>
  <si>
    <t>#23 Nationally Ranked</t>
  </si>
  <si>
    <t>Stevens</t>
  </si>
  <si>
    <t>CANCELLED - (COVID)</t>
  </si>
  <si>
    <t>2019 MCHC PLAYOFFS</t>
  </si>
  <si>
    <t>2016-17 REGULAR SEASON</t>
  </si>
  <si>
    <t>@ St. Thomas</t>
  </si>
  <si>
    <t>Suffolk (Semis)</t>
  </si>
  <si>
    <t>Hofstra (Finals)</t>
  </si>
  <si>
    <t>NOV*</t>
  </si>
  <si>
    <t>Revolution Ice / Warminster, PA</t>
  </si>
  <si>
    <t>@ SUNY Fredonia</t>
  </si>
  <si>
    <t>MARCH</t>
  </si>
  <si>
    <t>2019 ACHA REGIONALS</t>
  </si>
  <si>
    <t>@ Delaware</t>
  </si>
  <si>
    <t>@ Stockton</t>
  </si>
  <si>
    <t>Springfield (Semis)</t>
  </si>
  <si>
    <t>@ Bloomsburg</t>
  </si>
  <si>
    <t>Ice Line Quad Rinks / West Chester, PA</t>
  </si>
  <si>
    <t>@ Alvernia</t>
  </si>
  <si>
    <t>George Mason (Finals)</t>
  </si>
  <si>
    <t>2019 ACHA NATIONALS</t>
  </si>
  <si>
    <t>Florida Gulf Coast</t>
  </si>
  <si>
    <t>Children's Health StarCenter / Plano, TX</t>
  </si>
  <si>
    <t>@ NJIT</t>
  </si>
  <si>
    <t>Michigan</t>
  </si>
  <si>
    <t>St. Thomas</t>
  </si>
  <si>
    <t>NJIT</t>
  </si>
  <si>
    <t>Nebraska</t>
  </si>
  <si>
    <t>Yale</t>
  </si>
  <si>
    <t>JAN*</t>
  </si>
  <si>
    <t>GF/GA -- Season Totals:</t>
  </si>
  <si>
    <t>@ Yale</t>
  </si>
  <si>
    <t>Ingalls Arena / New Haven, CT</t>
  </si>
  <si>
    <t>SO</t>
  </si>
  <si>
    <t>World Ice / Flushing, NY</t>
  </si>
  <si>
    <t>Terry Conners Ice Rink / Stamford, CT</t>
  </si>
  <si>
    <t>2018 MCHC CHAMPIONSHIP PLAYOFFS</t>
  </si>
  <si>
    <t>2015-16 REGULAR SEASON</t>
  </si>
  <si>
    <t>Hofstra (Semi-finals)</t>
  </si>
  <si>
    <t>2017 PLAYOFFS</t>
  </si>
  <si>
    <t>Ramapo (Finals)</t>
  </si>
  <si>
    <t>Suffolk (Semi-finals)</t>
  </si>
  <si>
    <t>2019 ACHA REGIONALS (ATLANTIC)</t>
  </si>
  <si>
    <t>* Non league games / **Forfeit</t>
  </si>
  <si>
    <t>CAL University of PA</t>
  </si>
  <si>
    <t>Goals For/Against -- Season Totals:</t>
  </si>
  <si>
    <t>@ Maryland</t>
  </si>
  <si>
    <t>George Mason University</t>
  </si>
  <si>
    <t>@ Neumann</t>
  </si>
  <si>
    <t>CW Post</t>
  </si>
  <si>
    <t>@ CW Post</t>
  </si>
  <si>
    <t>2014-15 REGULAR SEASON</t>
  </si>
  <si>
    <t xml:space="preserve">@ NJIT -- CANCELLED </t>
  </si>
  <si>
    <t>Cancel</t>
  </si>
  <si>
    <t>2016 PLAYOFFS</t>
  </si>
  <si>
    <t>2012-13 REGULAR SEASON</t>
  </si>
  <si>
    <t>2013-14 REGULAR SEASON</t>
  </si>
  <si>
    <t>@ Stevens (Semi-finals)</t>
  </si>
  <si>
    <t>@NJIT</t>
  </si>
  <si>
    <t xml:space="preserve">@Yale (Championship) </t>
  </si>
  <si>
    <t>@ North VA Community</t>
  </si>
  <si>
    <t>vs. NJIT</t>
  </si>
  <si>
    <t>vs. Farmingdale</t>
  </si>
  <si>
    <t>@Maritime</t>
  </si>
  <si>
    <t>Chelsea Piers / Stamford, CT</t>
  </si>
  <si>
    <t>Parkwood / Great Neck, NY</t>
  </si>
  <si>
    <t>@ Southern CT State</t>
  </si>
  <si>
    <t>@Stevens</t>
  </si>
  <si>
    <t>Amerihealth Pavilion / Newark, NJ</t>
  </si>
  <si>
    <t>vs. Columbia</t>
  </si>
  <si>
    <t>vs. Stevens</t>
  </si>
  <si>
    <t>@CW Post</t>
  </si>
  <si>
    <t>vs. Southern CT State</t>
  </si>
  <si>
    <t>@C.C.M.</t>
  </si>
  <si>
    <t>Mennen Arena / Morristown, NY</t>
  </si>
  <si>
    <t>Freeport Arena / Freeport , NY</t>
  </si>
  <si>
    <t>vs. Suffolk</t>
  </si>
  <si>
    <t>College of Staten Island</t>
  </si>
  <si>
    <t>@ CCM</t>
  </si>
  <si>
    <t>Mennen Arena / Morristown, NJ</t>
  </si>
  <si>
    <t>DEC*</t>
  </si>
  <si>
    <t>Ice House / Hackensack, NJ</t>
  </si>
  <si>
    <t>vs. St. Thomas Cancelled</t>
  </si>
  <si>
    <t>vs. Hofstra</t>
  </si>
  <si>
    <t>Ice Hutch / Mount Vernon, NY Cancelled</t>
  </si>
  <si>
    <t>Palisades Center / Naunet, NY</t>
  </si>
  <si>
    <t>@Kings Point</t>
  </si>
  <si>
    <t>@ New Paltz</t>
  </si>
  <si>
    <t>Mid Hudson / Poughkeepsie, NY</t>
  </si>
  <si>
    <t>vs. Wagner</t>
  </si>
  <si>
    <t>@Suffolk</t>
  </si>
  <si>
    <t>Superior / Kings Park, NY</t>
  </si>
  <si>
    <t>vs. CCM</t>
  </si>
  <si>
    <t>C.C.M.</t>
  </si>
  <si>
    <t>Shelton Arena / Shelton, CT</t>
  </si>
  <si>
    <t>vs. Fairfield</t>
  </si>
  <si>
    <t>vs. Kings Point</t>
  </si>
  <si>
    <t>vs. Maritime</t>
  </si>
  <si>
    <t>FEB**</t>
  </si>
  <si>
    <t>Long Beach Arena / Long Beach, NY</t>
  </si>
  <si>
    <t>2015 PLAYOFFS</t>
  </si>
  <si>
    <t>vs. CW Post</t>
  </si>
  <si>
    <t>@ St. Thomas Cancelled</t>
  </si>
  <si>
    <t>Palisades Center / Nanuet, NY Cancelled</t>
  </si>
  <si>
    <t>C.C.M. (Semifinals)</t>
  </si>
  <si>
    <t>Dix Hills / Dix Hills, NY</t>
  </si>
  <si>
    <t>Stevens (Championship)</t>
  </si>
  <si>
    <t>2011-12 REGULAR SEASON</t>
  </si>
  <si>
    <t>2013 PLAYOFFS</t>
  </si>
  <si>
    <t>Aston Tournament (Qualifying Games)</t>
  </si>
  <si>
    <t>@ C.C.M.</t>
  </si>
  <si>
    <t>vs. C.C.M.</t>
  </si>
  <si>
    <t>vs. New Paltz</t>
  </si>
  <si>
    <t>FEB*</t>
  </si>
  <si>
    <t>@ Gettysburg</t>
  </si>
  <si>
    <t>2014 MCHC CHAMPIONSHIP PLAYOFFS</t>
  </si>
  <si>
    <t>Aston Tournament (Championship Game)</t>
  </si>
  <si>
    <t>Suffolk (Championship)</t>
  </si>
  <si>
    <t>@ Old Dominion</t>
  </si>
  <si>
    <t>Prudential Center / Newark, NJ</t>
  </si>
  <si>
    <t>Playland / Rye, NY</t>
  </si>
  <si>
    <t>2010-11 REGULAR SEASON</t>
  </si>
  <si>
    <t>Shelton / Shelton, Ct</t>
  </si>
  <si>
    <t>Bethpage Park / Bethpage, NY</t>
  </si>
  <si>
    <t>2009-10 REGULAR SEASON</t>
  </si>
  <si>
    <t>vs. St. Thomas</t>
  </si>
  <si>
    <t>@ Shippensburg</t>
  </si>
  <si>
    <t>@ East Stroudsburg</t>
  </si>
  <si>
    <t>Lehigh Valley / Whitehall, PA</t>
  </si>
  <si>
    <t>JAN**</t>
  </si>
  <si>
    <t>@ Lafayette</t>
  </si>
  <si>
    <t>Steel Ice Center / Bethlehem, PA</t>
  </si>
  <si>
    <t>@ Bucknell</t>
  </si>
  <si>
    <t>Freeport Rec / Freeport, NY</t>
  </si>
  <si>
    <t>Palisades / Nyack, NY</t>
  </si>
  <si>
    <t>@ Raritan</t>
  </si>
  <si>
    <t>Bridgewater / Bridgewater, NJ</t>
  </si>
  <si>
    <t>2012 PLAYOFFS</t>
  </si>
  <si>
    <t>Superior Rink / Kings Park, NY</t>
  </si>
  <si>
    <t>2008-09 REGULAR SEASON</t>
  </si>
  <si>
    <t>Superior Rink / Kings Park, Li</t>
  </si>
  <si>
    <t>Parkwood / Great Neck. Li</t>
  </si>
  <si>
    <t>Palisades Center / Nanuet, NY</t>
  </si>
  <si>
    <t>Mennen Arena /Morristown, NJ</t>
  </si>
  <si>
    <t>Playland Ice Casino / Rye, NY</t>
  </si>
  <si>
    <t>2010 MCHC CHAMPIONSHIP PLAYOFFS</t>
  </si>
  <si>
    <t>vs. East Stroudsburg</t>
  </si>
  <si>
    <t>Mid Hudson /Poughkeepsie, NY</t>
  </si>
  <si>
    <t>vs. Jet Fuel</t>
  </si>
  <si>
    <t>vs. Albany State</t>
  </si>
  <si>
    <t>* Non league games</t>
  </si>
  <si>
    <t>Murray's / Yonkers, NY</t>
  </si>
  <si>
    <t>@ Albany State</t>
  </si>
  <si>
    <t>Albany Academy / Albany, NY</t>
  </si>
  <si>
    <t>2011 PLAYOFFS</t>
  </si>
  <si>
    <t>vs. Yale</t>
  </si>
  <si>
    <t>vs. Skidmore</t>
  </si>
  <si>
    <t>2009 PLAYOFFS</t>
  </si>
  <si>
    <t>Ice World / Flushing, NY</t>
  </si>
  <si>
    <t>2007-08 REGULAR SEASON</t>
  </si>
  <si>
    <t>vs. NY Junior Saints "B"</t>
  </si>
  <si>
    <t>2006-07 REGULAR SEASON</t>
  </si>
  <si>
    <t>@ Briarcliffe</t>
  </si>
  <si>
    <t>Long Beach / Long Beach, NY</t>
  </si>
  <si>
    <t>vs. Briarcliffe</t>
  </si>
  <si>
    <t>NOV**</t>
  </si>
  <si>
    <t>@ St. Thomas Aquinas</t>
  </si>
  <si>
    <t>@ St. Rose</t>
  </si>
  <si>
    <t>@ Union</t>
  </si>
  <si>
    <t>Messa Rink / Schenectady, NY</t>
  </si>
  <si>
    <t>Wonderland / Bridgeport, CT</t>
  </si>
  <si>
    <t>@ Indiana University</t>
  </si>
  <si>
    <t>ACHA Tournament / Altoona, PA</t>
  </si>
  <si>
    <t>@ University of Pittsburgh</t>
  </si>
  <si>
    <t>2005-06 REGULAR SEASON</t>
  </si>
  <si>
    <t>2008 PLAYOFFS</t>
  </si>
  <si>
    <t>vs. St. Rose</t>
  </si>
  <si>
    <t>2004-05 REGULAR SEASON</t>
  </si>
  <si>
    <t xml:space="preserve"> @ Fairfield</t>
  </si>
  <si>
    <t>Away</t>
  </si>
  <si>
    <t xml:space="preserve"> @Columbia</t>
  </si>
  <si>
    <t xml:space="preserve"> vs. St. Thomas</t>
  </si>
  <si>
    <t>vs. Yale University</t>
  </si>
  <si>
    <t>@ Nassau</t>
  </si>
  <si>
    <t xml:space="preserve"> vs. CCM</t>
  </si>
  <si>
    <t>vs. Seton Hall</t>
  </si>
  <si>
    <t xml:space="preserve"> vs. Hofstra</t>
  </si>
  <si>
    <t>Mid Hudson / Poughkeepsie NY</t>
  </si>
  <si>
    <t>@ College of NJ</t>
  </si>
  <si>
    <t>@ Seton Hall</t>
  </si>
  <si>
    <t>Lawrenceville / Lawrenceville, NJ</t>
  </si>
  <si>
    <t>Northford Pavilion / Nortford, CT</t>
  </si>
  <si>
    <t xml:space="preserve"> vs. Suffolk</t>
  </si>
  <si>
    <t>2003-04 REGULAR SEASON</t>
  </si>
  <si>
    <t>2002-03 REGULAR SEASON</t>
  </si>
  <si>
    <t>@ Yale University</t>
  </si>
  <si>
    <t>Ingalls Rink / New Haven, CT</t>
  </si>
  <si>
    <t>vs. College of NJ</t>
  </si>
  <si>
    <t>@ Millersville</t>
  </si>
  <si>
    <t>Regency Sports / Lancaster, PA</t>
  </si>
  <si>
    <t>vs. Nassau</t>
  </si>
  <si>
    <t>@ Franklin &amp; Marshall</t>
  </si>
  <si>
    <t>2005 PLAYOFFS</t>
  </si>
  <si>
    <t>vs. Nassau Community</t>
  </si>
  <si>
    <t>2006 MCHC CHAMPIONSHIP PLAYOFFS</t>
  </si>
  <si>
    <t>vs. Manhattan</t>
  </si>
  <si>
    <t>@ Wagner</t>
  </si>
  <si>
    <t>Sports Plus / Lake Grove, NY</t>
  </si>
  <si>
    <t>The Rinx / Hauppauge, NY</t>
  </si>
  <si>
    <t>2003 PLAYOFFS</t>
  </si>
  <si>
    <t>Goals For/Against -- Overall Totals:</t>
  </si>
  <si>
    <t>2004 PLAYOFFS</t>
  </si>
  <si>
    <t>2001-02 REGULAR SEASON</t>
  </si>
  <si>
    <t>2000-01 REGULAR SEASON</t>
  </si>
  <si>
    <t>vs. Nassau Midget "A"</t>
  </si>
  <si>
    <t>1998-99 REGULAR SEASON</t>
  </si>
  <si>
    <t>1999-2000 REGULAR SEASON</t>
  </si>
  <si>
    <t>Jesuit Tourney</t>
  </si>
  <si>
    <t>vs. Paterson</t>
  </si>
  <si>
    <t>@ LeMoyne</t>
  </si>
  <si>
    <t>2002 PLAYOFFS</t>
  </si>
  <si>
    <t>Hommocks / Larchmont, NY</t>
  </si>
  <si>
    <t>@ Montclair State</t>
  </si>
  <si>
    <t>@ Scranton</t>
  </si>
  <si>
    <t>Staten Island Pavilion / Staten Island, NY</t>
  </si>
  <si>
    <t>vs. NYU</t>
  </si>
  <si>
    <t>vs. Montclair State</t>
  </si>
  <si>
    <t>Riverbank / Upper West Side, NYC</t>
  </si>
  <si>
    <t>vs. Kean</t>
  </si>
  <si>
    <t>@ Paterson</t>
  </si>
  <si>
    <t>@ NYU</t>
  </si>
  <si>
    <t>vs. Albany St</t>
  </si>
  <si>
    <t>Mid-Hudson Civic Center / Poughkeepsie, NY</t>
  </si>
  <si>
    <t>@ Western Connecticut</t>
  </si>
  <si>
    <t>Danbury, CT</t>
  </si>
  <si>
    <t>vs. Stony Brook</t>
  </si>
  <si>
    <t>2001 PLAYOFFS</t>
  </si>
  <si>
    <t>Neutral</t>
  </si>
  <si>
    <t>Wagner</t>
  </si>
  <si>
    <t>1997-98 REGULAR SEASON</t>
  </si>
  <si>
    <t>1996-97 REGULAR SEASON</t>
  </si>
  <si>
    <t>South Mountain / West Orange, NJ</t>
  </si>
  <si>
    <t>1995-96 REGULAR SEASON</t>
  </si>
  <si>
    <t>The Rinx / Happaugue, NY</t>
  </si>
  <si>
    <t>@ Monmouth</t>
  </si>
  <si>
    <t>Farmingdale, NJ</t>
  </si>
  <si>
    <t>@ Pace</t>
  </si>
  <si>
    <t>Monsey, NY</t>
  </si>
  <si>
    <t>@ Marist</t>
  </si>
  <si>
    <t>Syosset, NY</t>
  </si>
  <si>
    <t>@ Kean</t>
  </si>
  <si>
    <t>DEC**</t>
  </si>
  <si>
    <t>Roselle, NJ</t>
  </si>
  <si>
    <t>vs. Pace</t>
  </si>
  <si>
    <t>Sky Rink / Chelsea Piers, NYC</t>
  </si>
  <si>
    <t>1994-95 REGULAR SEASON</t>
  </si>
  <si>
    <t>vs. Marist</t>
  </si>
  <si>
    <t>Nassau Coliseum / Uniondale, NY</t>
  </si>
  <si>
    <t>vs. Binghamton</t>
  </si>
  <si>
    <t>1998 PLAYOFFS</t>
  </si>
  <si>
    <t>1997 PLAYOFFS</t>
  </si>
  <si>
    <t>vs. Western Connecticut</t>
  </si>
  <si>
    <t>1996 PLAYOFFS</t>
  </si>
  <si>
    <t>New Paltz</t>
  </si>
  <si>
    <t>Albany State</t>
  </si>
  <si>
    <t>**Farmingdale forfeited both games due to use of an ineligible players.</t>
  </si>
  <si>
    <t>1995 PLAYOFFS</t>
  </si>
  <si>
    <t>1992-93 REGULAR SEASON</t>
  </si>
  <si>
    <t>Home</t>
  </si>
  <si>
    <t>1993-94 REGULAR SEASON</t>
  </si>
  <si>
    <t>vs. Rutgers</t>
  </si>
  <si>
    <t>1991-92 REGULAR SEASON</t>
  </si>
  <si>
    <t>@ Rider</t>
  </si>
  <si>
    <t>@ Stevens Tech</t>
  </si>
  <si>
    <t>vs. Southern Connecticut</t>
  </si>
  <si>
    <t>@ Siena</t>
  </si>
  <si>
    <t>@ Leheigh</t>
  </si>
  <si>
    <t>@ East Stoudsburg</t>
  </si>
  <si>
    <t>1994 PLAYOFFS</t>
  </si>
  <si>
    <t>vs. East Stoudsburg</t>
  </si>
  <si>
    <t>vs. Ocean County</t>
  </si>
  <si>
    <t>@ Southern Connecticut</t>
  </si>
  <si>
    <t>1990-91 REGULAR SEASON</t>
  </si>
  <si>
    <t>1989-90 REGULAR SEASON</t>
  </si>
  <si>
    <t>vs. Siena</t>
  </si>
  <si>
    <t>@ Rutgers</t>
  </si>
  <si>
    <t>vs. PAL Junior Shields</t>
  </si>
  <si>
    <t>vs. University of Pennsylvania</t>
  </si>
  <si>
    <t>1988-89 REGULAR SEASON</t>
  </si>
  <si>
    <t>@ University of Pennsylvania</t>
  </si>
  <si>
    <t>1987-88 REGULAR SEASON</t>
  </si>
  <si>
    <t>@ Ocean County</t>
  </si>
  <si>
    <t>@ Navy</t>
  </si>
  <si>
    <t>@ PAL Junior Shields</t>
  </si>
  <si>
    <t>@ University of Rhode Island</t>
  </si>
  <si>
    <t>@ Manhattan</t>
  </si>
  <si>
    <t>1990 PLAYOFFS</t>
  </si>
  <si>
    <t>Marist</t>
  </si>
  <si>
    <t>@ Upsala</t>
  </si>
  <si>
    <t>Southern Connecticut</t>
  </si>
  <si>
    <t>vs. Upsala</t>
  </si>
  <si>
    <t>@ Montclair</t>
  </si>
  <si>
    <t>1988 PLAYOFFS</t>
  </si>
  <si>
    <t>1989 PLAYOFFS</t>
  </si>
  <si>
    <t>1985-86 REGULAR SEASON</t>
  </si>
  <si>
    <t>1986-87 REGULAR SEASON</t>
  </si>
  <si>
    <t>1984-85 REGULAR SEASON</t>
  </si>
  <si>
    <t>1983-84 REGULAR SEASON</t>
  </si>
  <si>
    <t>@ Iona (Div. III)</t>
  </si>
  <si>
    <t>vs. Ramapo</t>
  </si>
  <si>
    <t>@ St. Francis</t>
  </si>
  <si>
    <t>Manhattan</t>
  </si>
  <si>
    <t>@ Fairleigh Dickinson</t>
  </si>
  <si>
    <t>@ Broome County (Div. III)</t>
  </si>
  <si>
    <t>JAN* **</t>
  </si>
  <si>
    <t>vs. Fairleigh Dickinson</t>
  </si>
  <si>
    <t>vs. Bridgeport</t>
  </si>
  <si>
    <t>1985 PLAYOFFS</t>
  </si>
  <si>
    <t>@ CSI</t>
  </si>
  <si>
    <t>CCM</t>
  </si>
  <si>
    <t>@ Bridgeport</t>
  </si>
  <si>
    <t>1987 PLAYOFFS</t>
  </si>
  <si>
    <t>Montclair State</t>
  </si>
  <si>
    <t>1984 PLAYOFFS</t>
  </si>
  <si>
    <t>1982-83 REGULAR SEASON</t>
  </si>
  <si>
    <t>1981-82 REGULAR SEASON</t>
  </si>
  <si>
    <t>@ Army (Div. III)</t>
  </si>
  <si>
    <t>1980-81 REGULAR SEASON</t>
  </si>
  <si>
    <t>vs. Queens</t>
  </si>
  <si>
    <t>vs. FDU</t>
  </si>
  <si>
    <t>@ Nassau C.C.</t>
  </si>
  <si>
    <t>@ Iona (DIV III)</t>
  </si>
  <si>
    <t>vs. Patterson</t>
  </si>
  <si>
    <t>@ Queens</t>
  </si>
  <si>
    <t>@ Army (J.V.)</t>
  </si>
  <si>
    <t>vs. Nassau C.C.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</si>
</sst>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64">
    <font>
      <sz val="10.0"/>
      <color rgb="FF000000"/>
      <name val="Arial"/>
    </font>
    <font>
      <sz val="10.0"/>
      <color rgb="FF000000"/>
      <name val="Verdana"/>
    </font>
    <font/>
    <font>
      <b/>
      <sz val="10.0"/>
      <color rgb="FF000000"/>
      <name val="Verdana"/>
    </font>
    <font>
      <sz val="10.0"/>
      <color rgb="FF000000"/>
    </font>
    <font>
      <u/>
      <sz val="10.0"/>
      <color rgb="FF000000"/>
    </font>
    <font>
      <i/>
      <sz val="8.0"/>
      <color rgb="FF000000"/>
      <name val="Verdana"/>
    </font>
    <font>
      <b/>
      <sz val="12.0"/>
      <color rgb="FFFFFFFF"/>
      <name val="Verdana"/>
    </font>
    <font>
      <sz val="8.0"/>
      <name val="Verdana"/>
    </font>
    <font>
      <b/>
      <sz val="12.0"/>
      <color rgb="FF000000"/>
      <name val="Verdana"/>
    </font>
    <font>
      <sz val="8.0"/>
      <color rgb="FFFFFF99"/>
      <name val="Verdana"/>
    </font>
    <font>
      <name val="Verdana"/>
    </font>
    <font>
      <u/>
      <sz val="8.0"/>
      <color rgb="FF0000FF"/>
      <name val="Verdana"/>
    </font>
    <font>
      <i/>
      <sz val="12.0"/>
      <color rgb="FF000000"/>
      <name val="Verdana"/>
    </font>
    <font>
      <sz val="8.0"/>
      <color rgb="FF0000FF"/>
      <name val="Verdana"/>
    </font>
    <font>
      <u/>
      <sz val="8.0"/>
      <color rgb="FF1155CC"/>
      <name val="Verdana"/>
    </font>
    <font>
      <u/>
      <sz val="8.0"/>
      <color rgb="FF0000FF"/>
      <name val="Verdana"/>
    </font>
    <font>
      <u/>
      <sz val="8.0"/>
      <color rgb="FF1155CC"/>
      <name val="Verdana"/>
    </font>
    <font>
      <u/>
      <sz val="8.0"/>
      <color rgb="FFFFFF00"/>
      <name val="Verdana"/>
    </font>
    <font>
      <b/>
      <sz val="10.0"/>
      <color rgb="FFFFFFFF"/>
      <name val="Verdana"/>
    </font>
    <font>
      <u/>
      <sz val="8.0"/>
      <color rgb="FFFFFF99"/>
      <name val="Verdana"/>
    </font>
    <font>
      <u/>
      <sz val="8.0"/>
      <color rgb="FFFFFF99"/>
      <name val="Verdana"/>
    </font>
    <font>
      <i/>
      <sz val="10.0"/>
      <color rgb="FF000000"/>
      <name val="Verdana"/>
    </font>
    <font>
      <u/>
      <sz val="8.0"/>
      <color rgb="FF1155CC"/>
      <name val="Verdana"/>
    </font>
    <font>
      <i/>
      <sz val="8.0"/>
      <name val="Verdana"/>
    </font>
    <font>
      <b/>
      <sz val="8.0"/>
      <color rgb="FF0000FF"/>
      <name val="Verdana"/>
    </font>
    <font>
      <i/>
      <u/>
      <sz val="8.0"/>
      <color rgb="FFFFFF99"/>
      <name val="Verdana"/>
    </font>
    <font>
      <i/>
      <sz val="8.0"/>
      <color rgb="FFFFFF99"/>
      <name val="Verdana"/>
    </font>
    <font>
      <u/>
      <sz val="8.0"/>
      <color rgb="FFFFFF99"/>
      <name val="Verdana"/>
    </font>
    <font>
      <sz val="10.0"/>
      <color rgb="FFFFFFFF"/>
      <name val="Verdana"/>
    </font>
    <font>
      <u/>
      <sz val="8.0"/>
      <color rgb="FF0000FF"/>
      <name val="Verdana"/>
    </font>
    <font>
      <i/>
      <u/>
      <sz val="8.0"/>
      <color rgb="FFFFFF99"/>
      <name val="Verdana"/>
    </font>
    <font>
      <i/>
      <u/>
      <sz val="8.0"/>
      <color rgb="FFFFFF99"/>
      <name val="Verdana"/>
    </font>
    <font>
      <u/>
      <sz val="8.0"/>
      <color rgb="FF0000FF"/>
      <name val="Verdana"/>
    </font>
    <font>
      <u/>
      <sz val="8.0"/>
      <color rgb="FF1155CC"/>
      <name val="Verdana"/>
    </font>
    <font>
      <u/>
      <sz val="8.0"/>
      <color rgb="FF1155CC"/>
      <name val="Verdana"/>
    </font>
    <font>
      <u/>
      <sz val="8.0"/>
      <color rgb="FFFFFF00"/>
      <name val="Verdana"/>
    </font>
    <font>
      <b/>
      <i/>
      <sz val="12.0"/>
      <color rgb="FF000000"/>
      <name val="Verdana"/>
    </font>
    <font>
      <color rgb="FF000000"/>
      <name val="Verdana"/>
    </font>
    <font>
      <u/>
      <sz val="8.0"/>
      <color rgb="FF1155CC"/>
      <name val="Verdana"/>
    </font>
    <font>
      <b/>
      <color rgb="FF000000"/>
      <name val="Verdana"/>
    </font>
    <font>
      <name val="Arial"/>
    </font>
    <font>
      <u/>
      <sz val="8.0"/>
      <color rgb="FF1155CC"/>
      <name val="Verdana"/>
    </font>
    <font>
      <u/>
      <sz val="8.0"/>
      <color rgb="FF1155CC"/>
      <name val="Verdana"/>
    </font>
    <font>
      <u/>
      <sz val="8.0"/>
      <color rgb="FF1155CC"/>
      <name val="Verdana"/>
    </font>
    <font>
      <u/>
      <sz val="8.0"/>
      <color rgb="FFFFFF00"/>
      <name val="Verdana"/>
    </font>
    <font>
      <u/>
      <sz val="8.0"/>
      <color rgb="FF0000FF"/>
      <name val="Verdana"/>
    </font>
    <font>
      <u/>
      <sz val="8.0"/>
      <color rgb="FF0000FF"/>
      <name val="Verdana"/>
    </font>
    <font>
      <u/>
      <sz val="8.0"/>
      <color rgb="FFFFFF00"/>
      <name val="Verdana"/>
    </font>
    <font>
      <u/>
      <sz val="8.0"/>
      <color rgb="FF0000FF"/>
      <name val="Verdana"/>
    </font>
    <font>
      <u/>
      <sz val="8.0"/>
      <color rgb="FF0000FF"/>
      <name val="Verdana"/>
    </font>
    <font>
      <u/>
      <sz val="8.0"/>
      <color rgb="FF0000FF"/>
      <name val="Verdana"/>
    </font>
    <font>
      <u/>
      <sz val="8.0"/>
      <color rgb="FFFFFF00"/>
      <name val="Verdana"/>
    </font>
    <font>
      <sz val="8.0"/>
      <color rgb="FFFFFF00"/>
      <name val="Verdana"/>
    </font>
    <font>
      <b/>
      <i/>
      <sz val="10.0"/>
      <color rgb="FF000000"/>
      <name val="Verdana"/>
    </font>
    <font>
      <u/>
      <sz val="8.0"/>
      <color rgb="FF1155CC"/>
      <name val="Verdana"/>
    </font>
    <font>
      <u/>
      <sz val="8.0"/>
      <color rgb="FF0000FF"/>
      <name val="Verdana"/>
    </font>
    <font>
      <u/>
      <sz val="10.0"/>
      <color rgb="FF000000"/>
    </font>
    <font>
      <strike/>
      <sz val="10.0"/>
      <color rgb="FF000000"/>
      <name val="Verdana"/>
    </font>
    <font>
      <b/>
      <strike/>
      <sz val="10.0"/>
      <color rgb="FF000000"/>
      <name val="Verdana"/>
    </font>
    <font>
      <u/>
      <sz val="10.0"/>
      <color rgb="FF000000"/>
    </font>
    <font>
      <sz val="10.0"/>
      <name val="Verdana"/>
    </font>
    <font>
      <b/>
      <sz val="10.0"/>
      <name val="Verdana"/>
    </font>
    <font>
      <b/>
      <sz val="10.0"/>
    </font>
  </fonts>
  <fills count="11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5E183E"/>
        <bgColor rgb="FF5E183E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CCCCCC"/>
        <bgColor rgb="FFCCCCCC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Alignment="1" applyBorder="1" applyFont="1">
      <alignment shrinkToFit="0" wrapText="1"/>
    </xf>
    <xf borderId="2" fillId="2" fontId="3" numFmtId="0" xfId="0" applyAlignment="1" applyBorder="1" applyFill="1" applyFont="1">
      <alignment shrinkToFit="0" vertical="bottom" wrapText="0"/>
    </xf>
    <xf borderId="3" fillId="0" fontId="2" numFmtId="0" xfId="0" applyAlignment="1" applyBorder="1" applyFont="1">
      <alignment shrinkToFit="0" wrapText="1"/>
    </xf>
    <xf borderId="0" fillId="3" fontId="4" numFmtId="0" xfId="0" applyAlignment="1" applyFill="1" applyFont="1">
      <alignment shrinkToFit="0" vertical="bottom" wrapText="0"/>
    </xf>
    <xf borderId="0" fillId="3" fontId="5" numFmtId="164" xfId="0" applyAlignment="1" applyFill="1" applyFont="1" applyNumberFormat="1">
      <alignment shrinkToFit="0" vertical="bottom" wrapText="0"/>
    </xf>
    <xf borderId="4" fillId="2" fontId="1" numFmtId="0" xfId="0" applyAlignment="1" applyBorder="1" applyFill="1" applyFont="1">
      <alignment horizontal="center" readingOrder="0" shrinkToFit="0" vertical="center" wrapText="0"/>
    </xf>
    <xf borderId="4" fillId="2" fontId="1" numFmtId="0" xfId="0" applyAlignment="1" applyBorder="1" applyFill="1" applyFont="1">
      <alignment horizontal="center"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5" fillId="0" fontId="2" numFmtId="0" xfId="0" applyAlignment="1" applyBorder="1" applyFont="1">
      <alignment shrinkToFit="0" wrapText="1"/>
    </xf>
    <xf borderId="6" fillId="2" fontId="6" numFmtId="0" xfId="0" applyAlignment="1" applyBorder="1" applyFill="1" applyFont="1">
      <alignment horizontal="center" readingOrder="0" shrinkToFit="0" vertical="center" wrapText="0"/>
    </xf>
    <xf borderId="7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3" fontId="4" numFmtId="0" xfId="0" applyAlignment="1" applyFill="1" applyFont="1">
      <alignment horizontal="center"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1" fillId="4" fontId="7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0" fillId="3" fontId="2" numFmtId="0" xfId="0" applyAlignment="1" applyFill="1" applyFont="1">
      <alignment shrinkToFit="0" vertical="bottom" wrapText="0"/>
    </xf>
    <xf borderId="6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4" fillId="3" fontId="1" numFmtId="0" xfId="0" applyAlignment="1" applyBorder="1" applyFill="1" applyFont="1">
      <alignment horizontal="left" readingOrder="0" shrinkToFit="0" vertical="center" wrapText="0"/>
    </xf>
    <xf borderId="4" fillId="3" fontId="1" numFmtId="0" xfId="0" applyAlignment="1" applyBorder="1" applyFill="1" applyFont="1">
      <alignment horizontal="left" readingOrder="0" shrinkToFit="0" vertical="bottom" wrapText="0"/>
    </xf>
    <xf borderId="9" fillId="3" fontId="3" numFmtId="0" xfId="0" applyAlignment="1" applyBorder="1" applyFill="1" applyFont="1">
      <alignment horizontal="center" readingOrder="0" shrinkToFit="0" vertical="bottom" wrapText="0"/>
    </xf>
    <xf borderId="9" fillId="3" fontId="3" numFmtId="0" xfId="0" applyAlignment="1" applyBorder="1" applyFill="1" applyFont="1">
      <alignment horizontal="center" readingOrder="0" shrinkToFit="0" vertical="bottom" wrapText="0"/>
    </xf>
    <xf borderId="0" fillId="3" fontId="3" numFmtId="0" xfId="0" applyAlignment="1" applyFill="1" applyFont="1">
      <alignment horizontal="right" readingOrder="0" shrinkToFit="0" vertical="center" wrapText="0"/>
    </xf>
    <xf borderId="0" fillId="3" fontId="3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4" fillId="3" fontId="6" numFmtId="0" xfId="0" applyAlignment="1" applyBorder="1" applyFill="1" applyFont="1">
      <alignment horizontal="right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3" fontId="1" numFmtId="0" xfId="0" applyAlignment="1" applyBorder="1" applyFill="1" applyFont="1">
      <alignment horizontal="left" readingOrder="0" shrinkToFit="0" vertical="bottom" wrapText="0"/>
    </xf>
    <xf borderId="2" fillId="3" fontId="8" numFmtId="0" xfId="0" applyAlignment="1" applyBorder="1" applyFill="1" applyFont="1">
      <alignment horizontal="right" readingOrder="0" shrinkToFit="0" vertical="bottom" wrapText="0"/>
    </xf>
    <xf borderId="10" fillId="3" fontId="3" numFmtId="0" xfId="0" applyAlignment="1" applyBorder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center" wrapText="0"/>
    </xf>
    <xf borderId="0" fillId="3" fontId="9" numFmtId="0" xfId="0" applyAlignment="1" applyFill="1" applyFont="1">
      <alignment horizontal="right" readingOrder="0" shrinkToFit="0" vertical="bottom" wrapText="0"/>
    </xf>
    <xf borderId="6" fillId="0" fontId="10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ill="1" applyFont="1">
      <alignment horizontal="right" readingOrder="0" shrinkToFit="0" vertical="center" wrapText="0"/>
    </xf>
    <xf borderId="1" fillId="0" fontId="11" numFmtId="0" xfId="0" applyAlignment="1" applyBorder="1" applyFont="1">
      <alignment horizontal="left" readingOrder="0" shrinkToFit="0" vertical="center" wrapText="0"/>
    </xf>
    <xf borderId="2" fillId="3" fontId="8" numFmtId="0" xfId="0" applyAlignment="1" applyBorder="1" applyFill="1" applyFont="1">
      <alignment horizontal="right" readingOrder="0" shrinkToFit="0" vertical="bottom" wrapText="0"/>
    </xf>
    <xf borderId="2" fillId="3" fontId="12" numFmtId="0" xfId="0" applyAlignment="1" applyBorder="1" applyFill="1" applyFont="1">
      <alignment horizontal="right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6" fillId="0" fontId="10" numFmtId="0" xfId="0" applyAlignment="1" applyBorder="1" applyFont="1">
      <alignment horizontal="right" readingOrder="0" shrinkToFit="0" vertical="center" wrapText="0"/>
    </xf>
    <xf borderId="4" fillId="3" fontId="1" numFmtId="0" xfId="0" applyAlignment="1" applyBorder="1" applyFill="1" applyFont="1">
      <alignment horizontal="center" readingOrder="0" shrinkToFit="0" vertical="bottom" wrapText="0"/>
    </xf>
    <xf borderId="7" fillId="0" fontId="6" numFmtId="0" xfId="0" applyAlignment="1" applyBorder="1" applyFont="1">
      <alignment horizontal="right" readingOrder="0" shrinkToFit="0" vertical="center" wrapText="0"/>
    </xf>
    <xf borderId="0" fillId="3" fontId="13" numFmtId="0" xfId="0" applyAlignment="1" applyFill="1" applyFont="1">
      <alignment horizontal="right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center" wrapText="0"/>
    </xf>
    <xf borderId="4" fillId="0" fontId="11" numFmtId="0" xfId="0" applyAlignment="1" applyBorder="1" applyFont="1">
      <alignment horizontal="center" readingOrder="0" shrinkToFit="0" vertical="center" wrapText="0"/>
    </xf>
    <xf borderId="1" fillId="3" fontId="11" numFmtId="0" xfId="0" applyAlignment="1" applyBorder="1" applyFill="1" applyFont="1">
      <alignment horizontal="left" readingOrder="0" shrinkToFit="0" vertical="bottom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9" numFmtId="0" xfId="0" applyAlignment="1" applyFill="1" applyFont="1">
      <alignment horizontal="right" readingOrder="0" shrinkToFit="0" vertical="center" wrapText="0"/>
    </xf>
    <xf borderId="2" fillId="3" fontId="14" numFmtId="0" xfId="0" applyAlignment="1" applyBorder="1" applyFill="1" applyFont="1">
      <alignment horizontal="right" readingOrder="0" shrinkToFit="0" vertical="bottom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3" fontId="11" numFmtId="0" xfId="0" applyAlignment="1" applyBorder="1" applyFill="1" applyFont="1">
      <alignment horizontal="left" readingOrder="0" shrinkToFit="0" vertical="center" wrapText="0"/>
    </xf>
    <xf borderId="0" fillId="3" fontId="15" numFmtId="0" xfId="0" applyAlignment="1" applyFill="1" applyFont="1">
      <alignment horizontal="right" readingOrder="0" shrinkToFit="0" vertical="bottom" wrapText="0"/>
    </xf>
    <xf borderId="2" fillId="3" fontId="16" numFmtId="0" xfId="0" applyAlignment="1" applyBorder="1" applyFill="1" applyFont="1">
      <alignment horizontal="right" readingOrder="0" shrinkToFit="0" vertical="bottom" wrapText="0"/>
    </xf>
    <xf borderId="8" fillId="3" fontId="3" numFmtId="0" xfId="0" applyAlignment="1" applyBorder="1" applyFill="1" applyFont="1">
      <alignment horizontal="center" readingOrder="0" shrinkToFit="0" vertical="bottom" wrapText="0"/>
    </xf>
    <xf borderId="4" fillId="3" fontId="1" numFmtId="0" xfId="0" applyAlignment="1" applyBorder="1" applyFill="1" applyFont="1">
      <alignment horizontal="center" readingOrder="0" shrinkToFit="0" vertical="center" wrapText="0"/>
    </xf>
    <xf borderId="0" fillId="3" fontId="13" numFmtId="0" xfId="0" applyAlignment="1" applyFill="1" applyFont="1">
      <alignment horizontal="right" readingOrder="0" shrinkToFit="0" vertical="center" wrapText="0"/>
    </xf>
    <xf borderId="6" fillId="3" fontId="6" numFmtId="0" xfId="0" applyAlignment="1" applyBorder="1" applyFill="1" applyFont="1">
      <alignment horizontal="right" readingOrder="0" shrinkToFit="0" vertical="bottom" wrapText="0"/>
    </xf>
    <xf borderId="6" fillId="3" fontId="6" numFmtId="0" xfId="0" applyAlignment="1" applyBorder="1" applyFill="1" applyFont="1">
      <alignment horizontal="right" readingOrder="0" shrinkToFit="0" vertical="center" wrapText="0"/>
    </xf>
    <xf borderId="1" fillId="3" fontId="11" numFmtId="0" xfId="0" applyAlignment="1" applyBorder="1" applyFill="1" applyFont="1">
      <alignment horizontal="left" readingOrder="0" shrinkToFit="0" vertical="center" wrapText="0"/>
    </xf>
    <xf borderId="2" fillId="3" fontId="17" numFmtId="0" xfId="0" applyAlignment="1" applyBorder="1" applyFill="1" applyFont="1">
      <alignment horizontal="right" readingOrder="0" shrinkToFit="0" vertical="bottom" wrapText="0"/>
    </xf>
    <xf borderId="4" fillId="3" fontId="1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left" readingOrder="0" shrinkToFit="0" vertical="center" wrapText="0"/>
    </xf>
    <xf borderId="4" fillId="3" fontId="11" numFmtId="0" xfId="0" applyAlignment="1" applyBorder="1" applyFill="1" applyFont="1">
      <alignment horizontal="center" readingOrder="0" shrinkToFit="0" vertical="bottom" wrapText="0"/>
    </xf>
    <xf quotePrefix="1" borderId="0" fillId="3" fontId="9" numFmtId="0" xfId="0" applyAlignment="1" applyFill="1" applyFont="1">
      <alignment horizontal="right" readingOrder="0" shrinkToFit="0" vertical="bottom" wrapText="0"/>
    </xf>
    <xf borderId="6" fillId="0" fontId="6" numFmtId="0" xfId="0" applyAlignment="1" applyBorder="1" applyFont="1">
      <alignment horizontal="right" readingOrder="0" shrinkToFit="0" vertical="center" wrapText="0"/>
    </xf>
    <xf borderId="4" fillId="3" fontId="1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bottom" wrapText="0"/>
    </xf>
    <xf borderId="6" fillId="4" fontId="18" numFmtId="0" xfId="0" applyAlignment="1" applyBorder="1" applyFill="1" applyFont="1">
      <alignment horizontal="right" readingOrder="0" shrinkToFit="0" vertical="center" wrapText="0"/>
    </xf>
    <xf borderId="4" fillId="0" fontId="19" numFmtId="0" xfId="0" applyAlignment="1" applyBorder="1" applyFont="1">
      <alignment horizontal="center" readingOrder="0" shrinkToFit="0" vertical="center" wrapText="0"/>
    </xf>
    <xf borderId="6" fillId="4" fontId="20" numFmtId="0" xfId="0" applyAlignment="1" applyBorder="1" applyFill="1" applyFont="1">
      <alignment horizontal="center" readingOrder="0" shrinkToFit="0" vertical="center" wrapText="0"/>
    </xf>
    <xf borderId="11" fillId="4" fontId="19" numFmtId="0" xfId="0" applyAlignment="1" applyBorder="1" applyFill="1" applyFont="1">
      <alignment horizontal="center" readingOrder="0" shrinkToFit="0" vertical="center" wrapText="0"/>
    </xf>
    <xf borderId="12" fillId="0" fontId="2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14" fillId="5" fontId="6" numFmtId="0" xfId="0" applyAlignment="1" applyBorder="1" applyFill="1" applyFont="1">
      <alignment horizontal="center" readingOrder="0" shrinkToFit="0" vertical="center" wrapText="0"/>
    </xf>
    <xf borderId="15" fillId="0" fontId="2" numFmtId="0" xfId="0" applyAlignment="1" applyBorder="1" applyFont="1">
      <alignment shrinkToFit="0" wrapText="1"/>
    </xf>
    <xf borderId="16" fillId="5" fontId="11" numFmtId="0" xfId="0" applyAlignment="1" applyBorder="1" applyFill="1" applyFont="1">
      <alignment horizontal="left" readingOrder="0" shrinkToFit="0" vertical="center" wrapText="0"/>
    </xf>
    <xf borderId="2" fillId="5" fontId="8" numFmtId="0" xfId="0" applyAlignment="1" applyBorder="1" applyFill="1" applyFont="1">
      <alignment horizontal="right" readingOrder="0" shrinkToFit="0" vertical="bottom" wrapText="0"/>
    </xf>
    <xf borderId="10" fillId="5" fontId="3" numFmtId="0" xfId="0" applyAlignment="1" applyBorder="1" applyFill="1" applyFont="1">
      <alignment horizontal="center" readingOrder="0" shrinkToFit="0" vertical="bottom" wrapText="0"/>
    </xf>
    <xf borderId="6" fillId="4" fontId="21" numFmtId="0" xfId="0" applyAlignment="1" applyBorder="1" applyFill="1" applyFont="1">
      <alignment horizontal="right" readingOrder="0" shrinkToFit="0" vertical="center" wrapText="0"/>
    </xf>
    <xf borderId="17" fillId="5" fontId="3" numFmtId="0" xfId="0" applyAlignment="1" applyBorder="1" applyFill="1" applyFont="1">
      <alignment horizontal="center" readingOrder="0" shrinkToFit="0" vertical="bottom" wrapText="0"/>
    </xf>
    <xf borderId="7" fillId="3" fontId="6" numFmtId="0" xfId="0" applyAlignment="1" applyBorder="1" applyFill="1" applyFont="1">
      <alignment horizontal="right" readingOrder="0" shrinkToFit="0" vertical="bottom" wrapText="0"/>
    </xf>
    <xf borderId="14" fillId="5" fontId="11" numFmtId="0" xfId="0" applyAlignment="1" applyBorder="1" applyFill="1" applyFont="1">
      <alignment horizontal="center" readingOrder="0" shrinkToFit="0" vertical="center" wrapText="0"/>
    </xf>
    <xf borderId="0" fillId="5" fontId="13" numFmtId="0" xfId="0" applyAlignment="1" applyFill="1" applyFont="1">
      <alignment horizontal="right" readingOrder="0" shrinkToFit="0" vertical="bottom" wrapText="0"/>
    </xf>
    <xf borderId="18" fillId="5" fontId="22" numFmtId="0" xfId="0" applyAlignment="1" applyBorder="1" applyFill="1" applyFont="1">
      <alignment horizontal="center" readingOrder="0" shrinkToFit="0" vertical="center" wrapText="0"/>
    </xf>
    <xf borderId="19" fillId="0" fontId="2" numFmtId="0" xfId="0" applyAlignment="1" applyBorder="1" applyFont="1">
      <alignment shrinkToFit="0" wrapText="1"/>
    </xf>
    <xf borderId="14" fillId="5" fontId="11" numFmtId="0" xfId="0" applyAlignment="1" applyBorder="1" applyFill="1" applyFont="1">
      <alignment horizontal="left" readingOrder="0" shrinkToFit="0" vertical="center" wrapText="0"/>
    </xf>
    <xf borderId="0" fillId="5" fontId="23" numFmtId="0" xfId="0" applyAlignment="1" applyFill="1" applyFont="1">
      <alignment horizontal="right" readingOrder="0" shrinkToFit="0" vertical="bottom" wrapText="0"/>
    </xf>
    <xf borderId="20" fillId="5" fontId="22" numFmtId="0" xfId="0" applyAlignment="1" applyBorder="1" applyFill="1" applyFont="1">
      <alignment horizontal="center" readingOrder="0" shrinkToFit="0" vertical="center" wrapText="0"/>
    </xf>
    <xf borderId="21" fillId="0" fontId="2" numFmtId="0" xfId="0" applyAlignment="1" applyBorder="1" applyFont="1">
      <alignment shrinkToFit="0" wrapText="1"/>
    </xf>
    <xf borderId="22" fillId="0" fontId="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readingOrder="0" shrinkToFit="0" vertical="center" wrapText="0"/>
    </xf>
    <xf borderId="4" fillId="3" fontId="1" numFmtId="0" xfId="0" applyAlignment="1" applyBorder="1" applyFill="1" applyFont="1">
      <alignment horizontal="center" readingOrder="0" shrinkToFit="0" vertical="bottom" wrapText="0"/>
    </xf>
    <xf borderId="5" fillId="0" fontId="2" numFmtId="0" xfId="0" applyAlignment="1" applyBorder="1" applyFont="1">
      <alignment shrinkToFit="0" wrapText="1"/>
    </xf>
    <xf borderId="2" fillId="0" fontId="8" numFmtId="0" xfId="0" applyAlignment="1" applyBorder="1" applyFont="1">
      <alignment horizontal="right" readingOrder="0" shrinkToFit="0" vertical="bottom" wrapText="0"/>
    </xf>
    <xf borderId="10" fillId="0" fontId="3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4" fillId="3" fontId="11" numFmtId="0" xfId="0" applyAlignment="1" applyBorder="1" applyFill="1" applyFont="1">
      <alignment horizontal="left" readingOrder="0" shrinkToFit="0" vertical="bottom" wrapText="0"/>
    </xf>
    <xf borderId="2" fillId="0" fontId="24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0" fillId="0" fontId="25" numFmtId="0" xfId="0" applyAlignment="1" applyFont="1">
      <alignment horizontal="right" readingOrder="0" shrinkToFit="0" vertical="bottom" wrapText="0"/>
    </xf>
    <xf borderId="8" fillId="0" fontId="3" numFmtId="0" xfId="0" applyAlignment="1" applyBorder="1" applyFont="1">
      <alignment horizontal="center" readingOrder="0" shrinkToFit="0" vertical="bottom" wrapText="0"/>
    </xf>
    <xf borderId="0" fillId="3" fontId="4" numFmtId="0" xfId="0" applyAlignment="1" applyFill="1" applyFont="1">
      <alignment horizontal="center" readingOrder="0" shrinkToFit="0" vertical="bottom" wrapText="0"/>
    </xf>
    <xf borderId="2" fillId="0" fontId="25" numFmtId="0" xfId="0" applyAlignment="1" applyBorder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center" wrapText="0"/>
    </xf>
    <xf borderId="4" fillId="0" fontId="6" numFmtId="0" xfId="0" applyAlignment="1" applyBorder="1" applyFont="1">
      <alignment horizontal="right" readingOrder="0" shrinkToFit="0" vertical="center" wrapText="0"/>
    </xf>
    <xf borderId="2" fillId="0" fontId="14" numFmtId="0" xfId="0" applyAlignment="1" applyBorder="1" applyFont="1">
      <alignment horizontal="right" readingOrder="0" shrinkToFit="0" vertical="bottom" wrapText="0"/>
    </xf>
    <xf borderId="4" fillId="0" fontId="26" numFmtId="0" xfId="0" applyAlignment="1" applyBorder="1" applyFont="1">
      <alignment horizontal="right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3" fillId="4" fontId="7" numFmtId="0" xfId="0" applyAlignment="1" applyBorder="1" applyFill="1" applyFont="1">
      <alignment horizontal="center" readingOrder="0" shrinkToFit="0" vertical="center" wrapText="0"/>
    </xf>
    <xf borderId="24" fillId="0" fontId="2" numFmtId="0" xfId="0" applyAlignment="1" applyBorder="1" applyFont="1">
      <alignment shrinkToFit="0" wrapText="1"/>
    </xf>
    <xf borderId="25" fillId="0" fontId="2" numFmtId="0" xfId="0" applyAlignment="1" applyBorder="1" applyFont="1">
      <alignment shrinkToFit="0" wrapText="1"/>
    </xf>
    <xf borderId="0" fillId="3" fontId="2" numFmtId="0" xfId="0" applyAlignment="1" applyFill="1" applyFont="1">
      <alignment horizontal="center" shrinkToFit="0" vertical="bottom" wrapText="0"/>
    </xf>
    <xf borderId="4" fillId="0" fontId="6" numFmtId="0" xfId="0" applyAlignment="1" applyBorder="1" applyFont="1">
      <alignment horizontal="center" readingOrder="0" shrinkToFit="0" vertical="center" wrapText="0"/>
    </xf>
    <xf borderId="10" fillId="0" fontId="3" numFmtId="0" xfId="0" applyAlignment="1" applyBorder="1" applyFont="1">
      <alignment horizontal="center" readingOrder="0" shrinkToFit="0" vertical="bottom" wrapText="0"/>
    </xf>
    <xf borderId="6" fillId="0" fontId="27" numFmtId="0" xfId="0" applyAlignment="1" applyBorder="1" applyFont="1">
      <alignment horizontal="right" readingOrder="0" shrinkToFit="0" vertical="center" wrapText="0"/>
    </xf>
    <xf borderId="7" fillId="0" fontId="22" numFmtId="0" xfId="0" applyAlignment="1" applyBorder="1" applyFont="1">
      <alignment horizontal="right" readingOrder="0" shrinkToFit="0" vertical="center" wrapText="0"/>
    </xf>
    <xf borderId="23" fillId="0" fontId="6" numFmtId="0" xfId="0" applyAlignment="1" applyBorder="1" applyFont="1">
      <alignment horizontal="center" readingOrder="0" shrinkToFit="0" vertical="center" wrapText="0"/>
    </xf>
    <xf borderId="24" fillId="0" fontId="2" numFmtId="0" xfId="0" applyAlignment="1" applyBorder="1" applyFont="1">
      <alignment shrinkToFit="0" wrapText="1"/>
    </xf>
    <xf borderId="25" fillId="0" fontId="2" numFmtId="0" xfId="0" applyAlignment="1" applyBorder="1" applyFont="1">
      <alignment shrinkToFit="0" wrapText="1"/>
    </xf>
    <xf borderId="6" fillId="0" fontId="22" numFmtId="0" xfId="0" applyAlignment="1" applyBorder="1" applyFont="1">
      <alignment horizontal="right" readingOrder="0" shrinkToFit="0" vertical="center" wrapText="0"/>
    </xf>
    <xf borderId="23" fillId="4" fontId="7" numFmtId="0" xfId="0" applyAlignment="1" applyBorder="1" applyFill="1" applyFont="1">
      <alignment horizontal="center" readingOrder="0" shrinkToFit="0" vertical="center" wrapText="0"/>
    </xf>
    <xf borderId="24" fillId="0" fontId="2" numFmtId="0" xfId="0" applyAlignment="1" applyBorder="1" applyFont="1">
      <alignment shrinkToFit="0" wrapText="1"/>
    </xf>
    <xf borderId="25" fillId="0" fontId="2" numFmtId="0" xfId="0" applyAlignment="1" applyBorder="1" applyFont="1">
      <alignment shrinkToFit="0" wrapText="1"/>
    </xf>
    <xf borderId="16" fillId="0" fontId="11" numFmtId="0" xfId="0" applyAlignment="1" applyBorder="1" applyFont="1">
      <alignment horizontal="left" readingOrder="0" shrinkToFit="0" vertical="center" wrapText="0"/>
    </xf>
    <xf borderId="4" fillId="0" fontId="22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horizontal="right" readingOrder="0" shrinkToFit="0" vertical="bottom" wrapText="0"/>
    </xf>
    <xf borderId="6" fillId="0" fontId="6" numFmtId="0" xfId="0" applyAlignment="1" applyBorder="1" applyFont="1">
      <alignment horizontal="center" readingOrder="0" shrinkToFit="0" vertical="center" wrapText="0"/>
    </xf>
    <xf borderId="17" fillId="0" fontId="3" numFmtId="0" xfId="0" applyAlignment="1" applyBorder="1" applyFont="1">
      <alignment horizontal="center" readingOrder="0" shrinkToFit="0" vertical="bottom" wrapText="0"/>
    </xf>
    <xf borderId="14" fillId="0" fontId="11" numFmtId="0" xfId="0" applyAlignment="1" applyBorder="1" applyFont="1">
      <alignment horizontal="center" readingOrder="0" shrinkToFit="0" vertical="center" wrapText="0"/>
    </xf>
    <xf borderId="6" fillId="0" fontId="22" numFmtId="0" xfId="0" applyAlignment="1" applyBorder="1" applyFont="1">
      <alignment horizontal="right" readingOrder="0" shrinkToFit="0" vertical="center" wrapText="0"/>
    </xf>
    <xf borderId="0" fillId="0" fontId="14" numFmtId="0" xfId="0" applyAlignment="1" applyFont="1">
      <alignment horizontal="right" readingOrder="0" shrinkToFit="0" vertical="bottom" wrapText="0"/>
    </xf>
    <xf borderId="18" fillId="0" fontId="22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right" readingOrder="0" shrinkToFit="0" vertical="bottom" wrapText="0"/>
    </xf>
    <xf borderId="23" fillId="0" fontId="1" numFmtId="0" xfId="0" applyAlignment="1" applyBorder="1" applyFont="1">
      <alignment horizontal="center" readingOrder="0" shrinkToFit="0" vertical="center" wrapText="0"/>
    </xf>
    <xf borderId="4" fillId="2" fontId="1" numFmtId="0" xfId="0" applyAlignment="1" applyBorder="1" applyFill="1" applyFont="1">
      <alignment horizontal="center" readingOrder="0" shrinkToFit="0" vertical="center" wrapText="0"/>
    </xf>
    <xf borderId="6" fillId="4" fontId="28" numFmtId="0" xfId="0" applyAlignment="1" applyBorder="1" applyFill="1" applyFont="1">
      <alignment horizontal="right" readingOrder="0" shrinkToFit="0" vertical="bottom" wrapText="0"/>
    </xf>
    <xf borderId="0" fillId="2" fontId="3" numFmtId="0" xfId="0" applyAlignment="1" applyFill="1" applyFont="1">
      <alignment horizontal="center" shrinkToFit="0" vertical="center" wrapText="0"/>
    </xf>
    <xf borderId="5" fillId="2" fontId="3" numFmtId="0" xfId="0" applyAlignment="1" applyBorder="1" applyFill="1" applyFont="1">
      <alignment horizontal="center" shrinkToFit="0" vertical="center" wrapText="0"/>
    </xf>
    <xf borderId="23" fillId="0" fontId="2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4" fillId="0" fontId="29" numFmtId="0" xfId="0" applyAlignment="1" applyBorder="1" applyFont="1">
      <alignment horizontal="center" readingOrder="0" shrinkToFit="0" vertical="bottom" wrapText="0"/>
    </xf>
    <xf borderId="6" fillId="5" fontId="1" numFmtId="0" xfId="0" applyAlignment="1" applyBorder="1" applyFill="1" applyFont="1">
      <alignment horizontal="center" readingOrder="0" shrinkToFit="0" vertical="center" wrapText="0"/>
    </xf>
    <xf borderId="23" fillId="4" fontId="19" numFmtId="0" xfId="0" applyAlignment="1" applyBorder="1" applyFill="1" applyFont="1">
      <alignment horizontal="center" readingOrder="0" shrinkToFit="0" vertical="bottom" wrapText="0"/>
    </xf>
    <xf borderId="7" fillId="5" fontId="1" numFmtId="0" xfId="0" applyAlignment="1" applyBorder="1" applyFill="1" applyFont="1">
      <alignment horizontal="left" readingOrder="0" shrinkToFit="0" vertical="center" wrapText="0"/>
    </xf>
    <xf borderId="4" fillId="5" fontId="6" numFmtId="0" xfId="0" applyAlignment="1" applyBorder="1" applyFill="1" applyFont="1">
      <alignment horizontal="center" readingOrder="0" shrinkToFit="0" vertical="center" wrapText="0"/>
    </xf>
    <xf borderId="1" fillId="5" fontId="11" numFmtId="0" xfId="0" applyAlignment="1" applyBorder="1" applyFill="1" applyFont="1">
      <alignment horizontal="left" readingOrder="0" shrinkToFit="0" vertical="bottom" wrapText="0"/>
    </xf>
    <xf borderId="2" fillId="5" fontId="30" numFmtId="0" xfId="0" applyAlignment="1" applyBorder="1" applyFill="1" applyFont="1">
      <alignment horizontal="right" readingOrder="0" shrinkToFit="0" vertical="bottom" wrapText="0"/>
    </xf>
    <xf borderId="4" fillId="5" fontId="11" numFmtId="0" xfId="0" applyAlignment="1" applyBorder="1" applyFill="1" applyFont="1">
      <alignment horizontal="center" readingOrder="0" shrinkToFit="0" vertical="bottom" wrapText="0"/>
    </xf>
    <xf borderId="4" fillId="4" fontId="31" numFmtId="0" xfId="0" applyAlignment="1" applyBorder="1" applyFill="1" applyFont="1">
      <alignment horizontal="right" readingOrder="0" shrinkToFit="0" vertical="center" wrapText="0"/>
    </xf>
    <xf borderId="6" fillId="5" fontId="22" numFmtId="0" xfId="0" applyAlignment="1" applyBorder="1" applyFill="1" applyFont="1">
      <alignment horizontal="center" readingOrder="0" shrinkToFit="0" vertical="bottom" wrapText="0"/>
    </xf>
    <xf borderId="4" fillId="5" fontId="11" numFmtId="0" xfId="0" applyAlignment="1" applyBorder="1" applyFill="1" applyFont="1">
      <alignment horizontal="left" readingOrder="0" shrinkToFit="0" vertical="bottom" wrapText="0"/>
    </xf>
    <xf borderId="6" fillId="4" fontId="32" numFmtId="0" xfId="0" applyAlignment="1" applyBorder="1" applyFill="1" applyFont="1">
      <alignment horizontal="right" readingOrder="0" shrinkToFit="0" vertical="center" wrapText="0"/>
    </xf>
    <xf borderId="4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33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right" readingOrder="0" shrinkToFit="0" vertical="bottom" wrapText="0"/>
    </xf>
    <xf quotePrefix="1" borderId="0" fillId="0" fontId="13" numFmtId="0" xfId="0" applyAlignment="1" applyFont="1">
      <alignment horizontal="right" readingOrder="0" shrinkToFit="0" vertical="bottom" wrapText="0"/>
    </xf>
    <xf borderId="7" fillId="0" fontId="6" numFmtId="0" xfId="0" applyAlignment="1" applyBorder="1" applyFont="1">
      <alignment horizontal="right" readingOrder="0" shrinkToFit="0" vertical="bottom" wrapText="0"/>
    </xf>
    <xf borderId="2" fillId="0" fontId="34" numFmtId="0" xfId="0" applyAlignment="1" applyBorder="1" applyFont="1">
      <alignment horizontal="right" readingOrder="0" shrinkToFit="0" vertical="bottom" wrapText="0"/>
    </xf>
    <xf quotePrefix="1" borderId="0" fillId="0" fontId="13" numFmtId="0" xfId="0" applyAlignment="1" applyFont="1">
      <alignment horizontal="right" readingOrder="0" shrinkToFit="0" vertical="center" wrapText="0"/>
    </xf>
    <xf borderId="4" fillId="0" fontId="6" numFmtId="0" xfId="0" applyAlignment="1" applyBorder="1" applyFont="1">
      <alignment horizontal="right" readingOrder="0" shrinkToFit="0" vertical="bottom" wrapText="0"/>
    </xf>
    <xf borderId="23" fillId="3" fontId="1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3" fontId="35" numFmtId="0" xfId="0" applyAlignment="1" applyBorder="1" applyFill="1" applyFont="1">
      <alignment horizontal="right" readingOrder="0" shrinkToFit="0" vertical="bottom" wrapText="0"/>
    </xf>
    <xf borderId="6" fillId="0" fontId="22" numFmtId="0" xfId="0" applyAlignment="1" applyBorder="1" applyFont="1">
      <alignment horizontal="right" readingOrder="0" shrinkToFit="0" vertical="bottom" wrapText="0"/>
    </xf>
    <xf borderId="6" fillId="4" fontId="36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0" fontId="37" numFmtId="0" xfId="0" applyAlignment="1" applyFont="1">
      <alignment horizontal="right" readingOrder="0" shrinkToFit="0" vertical="center" wrapText="0"/>
    </xf>
    <xf borderId="6" fillId="0" fontId="22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1" fillId="0" fontId="38" numFmtId="0" xfId="0" applyAlignment="1" applyBorder="1" applyFont="1">
      <alignment readingOrder="0" shrinkToFit="0" vertical="bottom" wrapText="0"/>
    </xf>
    <xf borderId="23" fillId="0" fontId="1" numFmtId="0" xfId="0" applyAlignment="1" applyBorder="1" applyFont="1">
      <alignment horizontal="center" readingOrder="0" shrinkToFit="0" vertical="bottom" wrapText="0"/>
    </xf>
    <xf borderId="3" fillId="0" fontId="39" numFmtId="0" xfId="0" applyAlignment="1" applyBorder="1" applyFont="1">
      <alignment horizontal="right" readingOrder="0" shrinkToFit="0" vertical="bottom" wrapText="0"/>
    </xf>
    <xf borderId="25" fillId="0" fontId="40" numFmtId="0" xfId="0" applyAlignment="1" applyBorder="1" applyFont="1">
      <alignment horizontal="center" readingOrder="0" shrinkToFit="0" vertical="bottom" wrapText="0"/>
    </xf>
    <xf borderId="0" fillId="3" fontId="41" numFmtId="0" xfId="0" applyAlignment="1" applyFill="1" applyFont="1">
      <alignment shrinkToFit="0" vertical="bottom" wrapText="1"/>
    </xf>
    <xf borderId="0" fillId="3" fontId="41" numFmtId="0" xfId="0" applyAlignment="1" applyFill="1" applyFont="1">
      <alignment readingOrder="0" shrinkToFit="0" vertical="bottom" wrapText="1"/>
    </xf>
    <xf borderId="4" fillId="0" fontId="38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6" fillId="0" fontId="41" numFmtId="0" xfId="0" applyAlignment="1" applyBorder="1" applyFont="1">
      <alignment shrinkToFit="0" vertical="bottom" wrapText="1"/>
    </xf>
    <xf borderId="4" fillId="0" fontId="38" numFmtId="0" xfId="0" applyAlignment="1" applyBorder="1" applyFont="1">
      <alignment readingOrder="0" shrinkToFit="0" vertical="bottom" wrapText="0"/>
    </xf>
    <xf borderId="5" fillId="0" fontId="42" numFmtId="0" xfId="0" applyAlignment="1" applyBorder="1" applyFont="1">
      <alignment horizontal="right" readingOrder="0" shrinkToFit="0" vertical="bottom" wrapText="0"/>
    </xf>
    <xf borderId="8" fillId="0" fontId="40" numFmtId="0" xfId="0" applyAlignment="1" applyBorder="1" applyFont="1">
      <alignment horizontal="center" readingOrder="0" shrinkToFit="0" vertical="bottom" wrapText="0"/>
    </xf>
    <xf borderId="9" fillId="0" fontId="3" numFmtId="0" xfId="0" applyAlignment="1" applyBorder="1" applyFont="1">
      <alignment horizontal="center" readingOrder="0" shrinkToFit="0" vertical="bottom" wrapText="0"/>
    </xf>
    <xf borderId="9" fillId="0" fontId="3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bottom" wrapText="0"/>
    </xf>
    <xf borderId="0" fillId="3" fontId="41" numFmtId="0" xfId="0" applyAlignment="1" applyFill="1" applyFont="1">
      <alignment horizontal="center" readingOrder="0" shrinkToFit="0" vertical="bottom" wrapText="1"/>
    </xf>
    <xf borderId="4" fillId="0" fontId="38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right" readingOrder="0" shrinkToFit="0" wrapText="0"/>
    </xf>
    <xf borderId="0" fillId="0" fontId="43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37" numFmtId="0" xfId="0" applyAlignment="1" applyFont="1">
      <alignment horizontal="right" readingOrder="0" shrinkToFit="0" wrapText="0"/>
    </xf>
    <xf borderId="1" fillId="0" fontId="11" numFmtId="0" xfId="0" applyAlignment="1" applyBorder="1" applyFont="1">
      <alignment horizontal="left" readingOrder="0" shrinkToFit="0" vertical="bottom" wrapText="0"/>
    </xf>
    <xf borderId="0" fillId="5" fontId="9" numFmtId="0" xfId="0" applyAlignment="1" applyFill="1" applyFont="1">
      <alignment horizontal="right" readingOrder="0" shrinkToFit="0" vertical="bottom" wrapText="0"/>
    </xf>
    <xf borderId="2" fillId="0" fontId="44" numFmtId="0" xfId="0" applyAlignment="1" applyBorder="1" applyFont="1">
      <alignment horizontal="right" readingOrder="0" shrinkToFit="0" vertical="bottom" wrapText="0"/>
    </xf>
    <xf borderId="6" fillId="4" fontId="45" numFmtId="0" xfId="0" applyAlignment="1" applyBorder="1" applyFill="1" applyFont="1">
      <alignment horizontal="left" readingOrder="0" shrinkToFit="0" vertical="center" wrapText="0"/>
    </xf>
    <xf borderId="2" fillId="5" fontId="46" numFmtId="0" xfId="0" applyAlignment="1" applyBorder="1" applyFill="1" applyFont="1">
      <alignment horizontal="right" readingOrder="0" shrinkToFit="0" vertical="bottom" wrapText="0"/>
    </xf>
    <xf borderId="2" fillId="0" fontId="47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4" fontId="48" numFmtId="0" xfId="0" applyAlignment="1" applyBorder="1" applyFill="1" applyFont="1">
      <alignment horizontal="left" readingOrder="0" shrinkToFit="0" vertical="center" wrapText="0"/>
    </xf>
    <xf borderId="4" fillId="0" fontId="11" numFmtId="0" xfId="0" applyAlignment="1" applyBorder="1" applyFont="1">
      <alignment horizontal="center" readingOrder="0" shrinkToFit="0" vertical="bottom" wrapText="0"/>
    </xf>
    <xf borderId="6" fillId="4" fontId="19" numFmtId="0" xfId="0" applyAlignment="1" applyBorder="1" applyFill="1" applyFont="1">
      <alignment horizontal="center" readingOrder="0" shrinkToFit="0" vertical="bottom" wrapText="0"/>
    </xf>
    <xf borderId="4" fillId="5" fontId="6" numFmtId="0" xfId="0" applyAlignment="1" applyBorder="1" applyFill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left" readingOrder="0" shrinkToFit="0" vertical="bottom" wrapText="0"/>
    </xf>
    <xf borderId="2" fillId="5" fontId="49" numFmtId="0" xfId="0" applyAlignment="1" applyBorder="1" applyFill="1" applyFont="1">
      <alignment horizontal="right"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4" fillId="5" fontId="1" numFmtId="0" xfId="0" applyAlignment="1" applyBorder="1" applyFill="1" applyFont="1">
      <alignment horizontal="center" readingOrder="0" shrinkToFit="0" vertical="bottom" wrapText="0"/>
    </xf>
    <xf borderId="0" fillId="0" fontId="50" numFmtId="0" xfId="0" applyAlignment="1" applyFont="1">
      <alignment horizontal="right" readingOrder="0" shrinkToFit="0" vertical="bottom" wrapText="0"/>
    </xf>
    <xf borderId="4" fillId="5" fontId="22" numFmtId="0" xfId="0" applyAlignment="1" applyBorder="1" applyFill="1" applyFont="1">
      <alignment horizontal="center" readingOrder="0" shrinkToFit="0" vertical="bottom" wrapText="0"/>
    </xf>
    <xf borderId="6" fillId="5" fontId="22" numFmtId="0" xfId="0" applyAlignment="1" applyBorder="1" applyFill="1" applyFont="1">
      <alignment horizontal="center" readingOrder="0" shrinkToFit="0" vertical="bottom" wrapText="0"/>
    </xf>
    <xf borderId="4" fillId="5" fontId="1" numFmtId="0" xfId="0" applyAlignment="1" applyBorder="1" applyFill="1" applyFont="1">
      <alignment horizontal="left" readingOrder="0" shrinkToFit="0" vertical="bottom" wrapText="0"/>
    </xf>
    <xf borderId="0" fillId="5" fontId="51" numFmtId="0" xfId="0" applyAlignment="1" applyFill="1" applyFont="1">
      <alignment horizontal="right" readingOrder="0" shrinkToFit="0" vertical="bottom" wrapText="0"/>
    </xf>
    <xf borderId="0" fillId="5" fontId="9" numFmtId="0" xfId="0" applyAlignment="1" applyFill="1" applyFont="1">
      <alignment horizontal="right" readingOrder="0" shrinkToFit="0" vertical="bottom" wrapText="0"/>
    </xf>
    <xf borderId="4" fillId="4" fontId="52" numFmtId="0" xfId="0" applyAlignment="1" applyBorder="1" applyFill="1" applyFont="1">
      <alignment horizontal="right" readingOrder="0" shrinkToFit="0" vertical="center" wrapText="0"/>
    </xf>
    <xf borderId="0" fillId="3" fontId="4" numFmtId="0" xfId="0" applyAlignment="1" applyFill="1" applyFont="1">
      <alignment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23" fillId="3" fontId="1" numFmtId="0" xfId="0" applyAlignment="1" applyBorder="1" applyFill="1" applyFont="1">
      <alignment horizontal="center" shrinkToFit="0" vertical="bottom" wrapText="0"/>
    </xf>
    <xf borderId="23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7" fillId="0" fontId="53" numFmtId="0" xfId="0" applyAlignment="1" applyBorder="1" applyFont="1">
      <alignment horizontal="left" readingOrder="0" shrinkToFit="0" vertical="center" wrapText="0"/>
    </xf>
    <xf borderId="8" fillId="0" fontId="53" numFmtId="0" xfId="0" applyAlignment="1" applyBorder="1" applyFont="1">
      <alignment horizontal="left" readingOrder="0" shrinkToFit="0" vertical="center" wrapText="0"/>
    </xf>
    <xf borderId="4" fillId="0" fontId="22" numFmtId="0" xfId="0" applyAlignment="1" applyBorder="1" applyFont="1">
      <alignment horizontal="right" readingOrder="0" shrinkToFit="0" vertical="bottom" wrapText="0"/>
    </xf>
    <xf borderId="23" fillId="0" fontId="22" numFmtId="0" xfId="0" applyAlignment="1" applyBorder="1" applyFont="1">
      <alignment horizontal="right" readingOrder="0" shrinkToFit="0" vertical="bottom" wrapText="0"/>
    </xf>
    <xf borderId="0" fillId="0" fontId="53" numFmtId="0" xfId="0" applyAlignment="1" applyFont="1">
      <alignment horizontal="left" readingOrder="0" shrinkToFit="0" vertical="center" wrapText="0"/>
    </xf>
    <xf borderId="5" fillId="0" fontId="53" numFmtId="0" xfId="0" applyAlignment="1" applyBorder="1" applyFont="1">
      <alignment horizontal="left" readingOrder="0" shrinkToFit="0" vertical="center" wrapText="0"/>
    </xf>
    <xf borderId="0" fillId="2" fontId="3" numFmtId="0" xfId="0" applyAlignment="1" applyFill="1" applyFont="1">
      <alignment horizontal="right" readingOrder="0" shrinkToFit="0" vertical="bottom" wrapText="0"/>
    </xf>
    <xf borderId="9" fillId="5" fontId="3" numFmtId="0" xfId="0" applyAlignment="1" applyBorder="1" applyFill="1" applyFont="1">
      <alignment horizontal="center" readingOrder="0" shrinkToFit="0" vertical="bottom" wrapText="0"/>
    </xf>
    <xf borderId="6" fillId="5" fontId="6" numFmtId="0" xfId="0" applyAlignment="1" applyBorder="1" applyFill="1" applyFont="1">
      <alignment horizontal="right" readingOrder="0" shrinkToFit="0" vertical="bottom" wrapText="0"/>
    </xf>
    <xf borderId="7" fillId="5" fontId="6" numFmtId="0" xfId="0" applyAlignment="1" applyBorder="1" applyFill="1" applyFont="1">
      <alignment horizontal="right" readingOrder="0" shrinkToFit="0" vertical="bottom" wrapText="0"/>
    </xf>
    <xf borderId="4" fillId="0" fontId="54" numFmtId="0" xfId="0" applyAlignment="1" applyBorder="1" applyFont="1">
      <alignment horizontal="center" readingOrder="0" shrinkToFit="0" vertical="bottom" wrapText="0"/>
    </xf>
    <xf borderId="2" fillId="5" fontId="55" numFmtId="0" xfId="0" applyAlignment="1" applyBorder="1" applyFill="1" applyFont="1">
      <alignment horizontal="right" readingOrder="0" shrinkToFit="0" vertical="bottom" wrapText="0"/>
    </xf>
    <xf borderId="0" fillId="2" fontId="22" numFmtId="0" xfId="0" applyAlignment="1" applyFill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4" fontId="7" numFmtId="0" xfId="0" applyAlignment="1" applyFill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6" fontId="3" numFmtId="0" xfId="0" applyAlignment="1" applyFill="1" applyFont="1">
      <alignment horizontal="center" readingOrder="0" shrinkToFit="0" vertical="bottom" wrapText="0"/>
    </xf>
    <xf borderId="1" fillId="7" fontId="1" numFmtId="0" xfId="0" applyAlignment="1" applyBorder="1" applyFill="1" applyFont="1">
      <alignment horizontal="center" readingOrder="0" shrinkToFit="0" vertical="bottom" wrapText="0"/>
    </xf>
    <xf borderId="2" fillId="7" fontId="3" numFmtId="0" xfId="0" applyAlignment="1" applyBorder="1" applyFill="1" applyFont="1">
      <alignment horizontal="center" readingOrder="0" shrinkToFit="0" vertical="bottom" wrapText="0"/>
    </xf>
    <xf borderId="3" fillId="7" fontId="1" numFmtId="0" xfId="0" applyAlignment="1" applyBorder="1" applyFill="1" applyFont="1">
      <alignment horizontal="center" readingOrder="0" shrinkToFit="0" vertical="bottom" wrapText="0"/>
    </xf>
    <xf borderId="4" fillId="7" fontId="6" numFmtId="0" xfId="0" applyAlignment="1" applyBorder="1" applyFill="1" applyFont="1">
      <alignment horizontal="center" readingOrder="0" shrinkToFit="0" vertical="bottom" wrapText="0"/>
    </xf>
    <xf borderId="4" fillId="7" fontId="1" numFmtId="0" xfId="0" applyAlignment="1" applyBorder="1" applyFill="1" applyFont="1">
      <alignment horizontal="center" readingOrder="0" shrinkToFit="0" vertical="bottom" wrapText="0"/>
    </xf>
    <xf borderId="0" fillId="7" fontId="3" numFmtId="0" xfId="0" applyAlignment="1" applyFill="1" applyFont="1">
      <alignment horizontal="center" readingOrder="0" shrinkToFit="0" vertical="bottom" wrapText="0"/>
    </xf>
    <xf borderId="5" fillId="7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2" fillId="2" fontId="3" numFmtId="0" xfId="0" applyAlignment="1" applyBorder="1" applyFill="1" applyFont="1">
      <alignment horizontal="right" readingOrder="0" shrinkToFit="0" vertical="bottom" wrapText="0"/>
    </xf>
    <xf borderId="6" fillId="7" fontId="6" numFmtId="0" xfId="0" applyAlignment="1" applyBorder="1" applyFill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1" fillId="8" fontId="1" numFmtId="0" xfId="0" applyAlignment="1" applyBorder="1" applyFill="1" applyFont="1">
      <alignment horizontal="right" readingOrder="0" shrinkToFit="0" vertical="bottom" wrapText="0"/>
    </xf>
    <xf borderId="2" fillId="8" fontId="3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8" fontId="1" numFmtId="0" xfId="0" applyAlignment="1" applyBorder="1" applyFill="1" applyFont="1">
      <alignment horizontal="center" readingOrder="0" shrinkToFit="0" vertical="bottom" wrapText="0"/>
    </xf>
    <xf borderId="3" fillId="2" fontId="1" numFmtId="0" xfId="0" applyAlignment="1" applyBorder="1" applyFill="1" applyFont="1">
      <alignment horizontal="center" shrinkToFit="0" vertical="bottom" wrapText="0"/>
    </xf>
    <xf borderId="4" fillId="3" fontId="4" numFmtId="0" xfId="0" applyAlignment="1" applyBorder="1" applyFill="1" applyFont="1">
      <alignment shrinkToFit="0" vertical="bottom" wrapText="0"/>
    </xf>
    <xf borderId="6" fillId="8" fontId="6" numFmtId="0" xfId="0" applyAlignment="1" applyBorder="1" applyFill="1" applyFont="1">
      <alignment horizontal="center" readingOrder="0" shrinkToFit="0" vertical="bottom" wrapText="0"/>
    </xf>
    <xf borderId="0" fillId="5" fontId="56" numFmtId="0" xfId="0" applyAlignment="1" applyFill="1" applyFont="1">
      <alignment horizontal="right" readingOrder="0" shrinkToFit="0" vertical="bottom" wrapText="0"/>
    </xf>
    <xf borderId="4" fillId="2" fontId="1" numFmtId="0" xfId="0" applyAlignment="1" applyBorder="1" applyFill="1" applyFont="1">
      <alignment horizontal="left" shrinkToFit="0" vertical="bottom" wrapText="0"/>
    </xf>
    <xf borderId="4" fillId="5" fontId="22" numFmtId="0" xfId="0" applyAlignment="1" applyBorder="1" applyFill="1" applyFont="1">
      <alignment horizontal="center" readingOrder="0" shrinkToFit="0" vertical="bottom" wrapText="0"/>
    </xf>
    <xf borderId="4" fillId="8" fontId="6" numFmtId="0" xfId="0" applyAlignment="1" applyBorder="1" applyFill="1" applyFont="1">
      <alignment horizontal="center"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11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5" fillId="2" fontId="1" numFmtId="0" xfId="0" applyAlignment="1" applyBorder="1" applyFill="1" applyFont="1">
      <alignment horizontal="center" shrinkToFit="0" vertical="bottom" wrapText="0"/>
    </xf>
    <xf borderId="6" fillId="2" fontId="1" numFmtId="0" xfId="0" applyAlignment="1" applyBorder="1" applyFill="1" applyFont="1">
      <alignment horizontal="left" shrinkToFit="0" vertical="bottom" wrapText="0"/>
    </xf>
    <xf borderId="7" fillId="2" fontId="1" numFmtId="0" xfId="0" applyAlignment="1" applyBorder="1" applyFill="1" applyFont="1">
      <alignment shrinkToFit="0" vertical="bottom" wrapText="0"/>
    </xf>
    <xf borderId="7" fillId="2" fontId="3" numFmtId="0" xfId="0" applyAlignment="1" applyBorder="1" applyFill="1" applyFont="1">
      <alignment horizontal="right" shrinkToFit="0" vertical="bottom" wrapText="0"/>
    </xf>
    <xf borderId="7" fillId="2" fontId="22" numFmtId="0" xfId="0" applyAlignment="1" applyBorder="1" applyFill="1" applyFont="1">
      <alignment readingOrder="0" shrinkToFit="0" vertical="bottom" wrapText="0"/>
    </xf>
    <xf borderId="1" fillId="0" fontId="11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7" fillId="2" fontId="1" numFmtId="0" xfId="0" applyAlignment="1" applyBorder="1" applyFill="1" applyFont="1">
      <alignment horizontal="center" shrinkToFit="0" vertical="bottom" wrapText="0"/>
    </xf>
    <xf borderId="8" fillId="2" fontId="1" numFmtId="0" xfId="0" applyAlignment="1" applyBorder="1" applyFill="1" applyFont="1">
      <alignment horizontal="center" shrinkToFit="0" vertical="bottom" wrapText="0"/>
    </xf>
    <xf borderId="4" fillId="8" fontId="11" numFmtId="0" xfId="0" applyAlignment="1" applyBorder="1" applyFill="1" applyFont="1">
      <alignment horizontal="right" readingOrder="0" shrinkToFit="0" vertical="bottom" wrapText="0"/>
    </xf>
    <xf borderId="0" fillId="8" fontId="3" numFmtId="0" xfId="0" applyAlignment="1" applyFill="1" applyFont="1">
      <alignment horizontal="center" readingOrder="0" shrinkToFit="0" vertical="bottom" wrapText="0"/>
    </xf>
    <xf borderId="23" fillId="0" fontId="1" numFmtId="0" xfId="0" applyAlignment="1" applyBorder="1" applyFont="1">
      <alignment horizontal="left" shrinkToFit="0" vertical="bottom" wrapText="0"/>
    </xf>
    <xf borderId="24" fillId="0" fontId="1" numFmtId="0" xfId="0" applyAlignment="1" applyBorder="1" applyFont="1">
      <alignment shrinkToFit="0" vertical="bottom" wrapText="0"/>
    </xf>
    <xf borderId="24" fillId="0" fontId="3" numFmtId="0" xfId="0" applyAlignment="1" applyBorder="1" applyFont="1">
      <alignment horizontal="right" shrinkToFit="0" vertical="bottom" wrapText="0"/>
    </xf>
    <xf borderId="5" fillId="8" fontId="1" numFmtId="0" xfId="0" applyAlignment="1" applyBorder="1" applyFill="1" applyFont="1">
      <alignment horizontal="center" readingOrder="0" shrinkToFit="0" vertical="bottom" wrapText="0"/>
    </xf>
    <xf borderId="24" fillId="0" fontId="22" numFmtId="0" xfId="0" applyAlignment="1" applyBorder="1" applyFont="1">
      <alignment shrinkToFit="0" vertical="bottom" wrapText="0"/>
    </xf>
    <xf borderId="24" fillId="0" fontId="1" numFmtId="0" xfId="0" applyAlignment="1" applyBorder="1" applyFont="1">
      <alignment horizontal="center" shrinkToFit="0" vertical="bottom" wrapText="0"/>
    </xf>
    <xf borderId="25" fillId="0" fontId="1" numFmtId="0" xfId="0" applyAlignment="1" applyBorder="1" applyFont="1">
      <alignment horizontal="center" shrinkToFit="0" vertical="bottom" wrapText="0"/>
    </xf>
    <xf borderId="4" fillId="3" fontId="4" numFmtId="0" xfId="0" applyAlignment="1" applyBorder="1" applyFill="1" applyFont="1">
      <alignment horizontal="center" readingOrder="0" shrinkToFit="0" vertical="bottom" wrapText="0"/>
    </xf>
    <xf borderId="1" fillId="4" fontId="7" numFmtId="0" xfId="0" applyAlignment="1" applyBorder="1" applyFill="1" applyFont="1">
      <alignment horizontal="center" readingOrder="0" shrinkToFit="0" vertical="center" wrapText="0"/>
    </xf>
    <xf borderId="4" fillId="3" fontId="2" numFmtId="0" xfId="0" applyAlignment="1" applyBorder="1" applyFill="1" applyFont="1">
      <alignment shrinkToFit="0" vertical="bottom" wrapText="0"/>
    </xf>
    <xf borderId="1" fillId="8" fontId="11" numFmtId="0" xfId="0" applyAlignment="1" applyBorder="1" applyFill="1" applyFont="1">
      <alignment horizontal="right" readingOrder="0" shrinkToFit="0" vertical="bottom" wrapText="0"/>
    </xf>
    <xf borderId="6" fillId="0" fontId="2" numFmtId="0" xfId="0" applyAlignment="1" applyBorder="1" applyFont="1">
      <alignment shrinkToFit="0" wrapText="1"/>
    </xf>
    <xf borderId="23" fillId="0" fontId="3" numFmtId="0" xfId="0" applyAlignment="1" applyBorder="1" applyFont="1">
      <alignment horizontal="left" readingOrder="0" shrinkToFit="0" vertical="bottom" wrapText="0"/>
    </xf>
    <xf borderId="0" fillId="5" fontId="14" numFmtId="0" xfId="0" applyAlignment="1" applyFill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24" fillId="0" fontId="3" numFmtId="0" xfId="0" applyAlignment="1" applyBorder="1" applyFont="1">
      <alignment horizontal="center" readingOrder="0" shrinkToFit="0" vertical="bottom" wrapText="0"/>
    </xf>
    <xf borderId="0" fillId="5" fontId="6" numFmtId="0" xfId="0" applyAlignment="1" applyFill="1" applyFont="1">
      <alignment horizontal="right" readingOrder="0" shrinkToFit="0" vertical="bottom" wrapText="0"/>
    </xf>
    <xf borderId="25" fillId="0" fontId="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23" fillId="0" fontId="3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ill="1" applyFont="1">
      <alignment horizontal="center" shrinkToFit="0" vertical="bottom" wrapText="0"/>
    </xf>
    <xf borderId="1" fillId="7" fontId="1" numFmtId="0" xfId="0" applyAlignment="1" applyBorder="1" applyFill="1" applyFont="1">
      <alignment horizontal="left" readingOrder="0" shrinkToFit="0" vertical="bottom" wrapText="0"/>
    </xf>
    <xf borderId="4" fillId="8" fontId="1" numFmtId="0" xfId="0" applyAlignment="1" applyBorder="1" applyFill="1" applyFont="1">
      <alignment horizontal="right" readingOrder="0" shrinkToFit="0" vertical="bottom" wrapText="0"/>
    </xf>
    <xf borderId="2" fillId="7" fontId="1" numFmtId="0" xfId="0" applyAlignment="1" applyBorder="1" applyFill="1" applyFont="1">
      <alignment horizontal="center" readingOrder="0" shrinkToFit="0" vertical="bottom" wrapText="0"/>
    </xf>
    <xf borderId="2" fillId="7" fontId="1" numFmtId="0" xfId="0" applyAlignment="1" applyBorder="1" applyFill="1" applyFont="1">
      <alignment horizontal="center" readingOrder="0" shrinkToFit="0" vertical="bottom" wrapText="0"/>
    </xf>
    <xf borderId="4" fillId="7" fontId="1" numFmtId="0" xfId="0" applyAlignment="1" applyBorder="1" applyFill="1" applyFont="1">
      <alignment horizontal="left" readingOrder="0" shrinkToFit="0" vertical="bottom" wrapText="0"/>
    </xf>
    <xf borderId="0" fillId="7" fontId="1" numFmtId="0" xfId="0" applyAlignment="1" applyFill="1" applyFont="1">
      <alignment horizontal="center" readingOrder="0" shrinkToFit="0" vertical="bottom" wrapText="0"/>
    </xf>
    <xf borderId="0" fillId="7" fontId="1" numFmtId="0" xfId="0" applyAlignment="1" applyFill="1" applyFont="1">
      <alignment horizontal="center" readingOrder="0" shrinkToFit="0" vertical="bottom" wrapText="0"/>
    </xf>
    <xf borderId="6" fillId="7" fontId="1" numFmtId="0" xfId="0" applyAlignment="1" applyBorder="1" applyFill="1" applyFont="1">
      <alignment horizontal="left" readingOrder="0" shrinkToFit="0" vertical="bottom" wrapText="0"/>
    </xf>
    <xf borderId="7" fillId="7" fontId="1" numFmtId="0" xfId="0" applyAlignment="1" applyBorder="1" applyFill="1" applyFont="1">
      <alignment horizontal="center" readingOrder="0" shrinkToFit="0" vertical="bottom" wrapText="0"/>
    </xf>
    <xf borderId="7" fillId="7" fontId="3" numFmtId="0" xfId="0" applyAlignment="1" applyBorder="1" applyFill="1" applyFont="1">
      <alignment horizontal="center" readingOrder="0" shrinkToFit="0" vertical="bottom" wrapText="0"/>
    </xf>
    <xf borderId="7" fillId="7" fontId="1" numFmtId="0" xfId="0" applyAlignment="1" applyBorder="1" applyFill="1" applyFont="1">
      <alignment horizontal="center" readingOrder="0" shrinkToFit="0" vertical="bottom" wrapText="0"/>
    </xf>
    <xf borderId="8" fillId="7" fontId="1" numFmtId="0" xfId="0" applyAlignment="1" applyBorder="1" applyFill="1" applyFont="1">
      <alignment horizontal="center" readingOrder="0" shrinkToFit="0" vertical="bottom" wrapText="0"/>
    </xf>
    <xf borderId="23" fillId="3" fontId="3" numFmtId="0" xfId="0" applyAlignment="1" applyBorder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4" fillId="8" fontId="1" numFmtId="0" xfId="0" applyAlignment="1" applyBorder="1" applyFill="1" applyFont="1">
      <alignment horizontal="left" readingOrder="0" shrinkToFit="0" vertical="bottom" wrapText="0"/>
    </xf>
    <xf borderId="0" fillId="8" fontId="1" numFmtId="0" xfId="0" applyAlignment="1" applyFill="1" applyFont="1">
      <alignment horizontal="right" readingOrder="0" shrinkToFit="0" vertical="bottom" wrapText="0"/>
    </xf>
    <xf borderId="0" fillId="8" fontId="1" numFmtId="0" xfId="0" applyAlignment="1" applyFill="1" applyFont="1">
      <alignment horizontal="center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4" fillId="3" fontId="1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8" fontId="11" numFmtId="0" xfId="0" applyAlignment="1" applyFill="1" applyFont="1">
      <alignment horizontal="right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1" fillId="8" fontId="1" numFmtId="0" xfId="0" applyAlignment="1" applyBorder="1" applyFill="1" applyFont="1">
      <alignment horizontal="left" readingOrder="0" shrinkToFit="0" vertical="bottom" wrapText="0"/>
    </xf>
    <xf borderId="2" fillId="8" fontId="11" numFmtId="0" xfId="0" applyAlignment="1" applyBorder="1" applyFill="1" applyFont="1">
      <alignment horizontal="right" readingOrder="0" shrinkToFit="0" vertical="bottom" wrapText="0"/>
    </xf>
    <xf borderId="2" fillId="8" fontId="1" numFmtId="0" xfId="0" applyAlignment="1" applyBorder="1" applyFill="1" applyFont="1">
      <alignment horizontal="center" readingOrder="0" shrinkToFit="0" vertical="bottom" wrapText="0"/>
    </xf>
    <xf borderId="6" fillId="8" fontId="1" numFmtId="0" xfId="0" applyAlignment="1" applyBorder="1" applyFill="1" applyFont="1">
      <alignment horizontal="left" readingOrder="0" shrinkToFit="0" vertical="bottom" wrapText="0"/>
    </xf>
    <xf borderId="7" fillId="8" fontId="11" numFmtId="0" xfId="0" applyAlignment="1" applyBorder="1" applyFill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7" fillId="8" fontId="3" numFmtId="0" xfId="0" applyAlignment="1" applyBorder="1" applyFill="1" applyFont="1">
      <alignment horizontal="center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7" fillId="8" fontId="1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8" fillId="8" fontId="1" numFmtId="0" xfId="0" applyAlignment="1" applyBorder="1" applyFill="1" applyFont="1">
      <alignment horizontal="center" readingOrder="0" shrinkToFit="0" vertical="bottom" wrapText="0"/>
    </xf>
    <xf borderId="2" fillId="8" fontId="1" numFmtId="0" xfId="0" applyAlignment="1" applyBorder="1" applyFill="1" applyFont="1">
      <alignment horizontal="right" readingOrder="0" shrinkToFit="0" vertical="bottom" wrapText="0"/>
    </xf>
    <xf borderId="0" fillId="2" fontId="3" numFmtId="0" xfId="0" applyAlignment="1" applyFill="1" applyFont="1">
      <alignment horizontal="right" readingOrder="0" shrinkToFit="0" vertical="center" wrapText="0"/>
    </xf>
    <xf borderId="0" fillId="7" fontId="1" numFmtId="0" xfId="0" applyAlignment="1" applyFill="1" applyFont="1">
      <alignment horizontal="right" readingOrder="0" shrinkToFit="0" vertical="bottom" wrapText="0"/>
    </xf>
    <xf borderId="6" fillId="0" fontId="1" numFmtId="0" xfId="0" applyAlignment="1" applyBorder="1" applyFont="1">
      <alignment horizontal="left" readingOrder="0" shrinkToFit="0" vertical="bottom" wrapText="0"/>
    </xf>
    <xf borderId="7" fillId="0" fontId="1" numFmtId="0" xfId="0" applyAlignment="1" applyBorder="1" applyFont="1">
      <alignment horizontal="right"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7" fillId="0" fontId="3" numFmtId="0" xfId="0" applyAlignment="1" applyBorder="1" applyFont="1">
      <alignment horizontal="center" readingOrder="0" shrinkToFit="0" vertical="bottom" wrapText="0"/>
    </xf>
    <xf borderId="0" fillId="9" fontId="3" numFmtId="0" xfId="0" applyAlignment="1" applyFill="1" applyFont="1">
      <alignment horizontal="right" readingOrder="0" shrinkToFit="0" vertical="center" wrapText="0"/>
    </xf>
    <xf borderId="7" fillId="0" fontId="1" numFmtId="0" xfId="0" applyAlignment="1" applyBorder="1" applyFont="1">
      <alignment horizontal="center" readingOrder="0" shrinkToFit="0" vertical="bottom" wrapText="0"/>
    </xf>
    <xf borderId="8" fillId="0" fontId="1" numFmtId="0" xfId="0" applyAlignment="1" applyBorder="1" applyFont="1">
      <alignment horizontal="center" readingOrder="0" shrinkToFit="0" vertical="bottom" wrapText="0"/>
    </xf>
    <xf borderId="0" fillId="9" fontId="3" numFmtId="0" xfId="0" applyAlignment="1" applyFill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bottom" wrapText="0"/>
    </xf>
    <xf borderId="6" fillId="4" fontId="7" numFmtId="0" xfId="0" applyAlignment="1" applyBorder="1" applyFill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shrinkToFit="0" vertical="bottom" wrapText="0"/>
    </xf>
    <xf borderId="4" fillId="3" fontId="2" numFmtId="0" xfId="0" applyAlignment="1" applyBorder="1" applyFill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4" fillId="4" fontId="7" numFmtId="0" xfId="0" applyAlignment="1" applyBorder="1" applyFill="1" applyFont="1">
      <alignment horizontal="center" readingOrder="0" shrinkToFit="0" vertical="center" wrapText="0"/>
    </xf>
    <xf borderId="23" fillId="9" fontId="3" numFmtId="0" xfId="0" applyAlignment="1" applyBorder="1" applyFill="1" applyFont="1">
      <alignment horizontal="center" readingOrder="0" shrinkToFit="0" vertical="center" wrapText="0"/>
    </xf>
    <xf borderId="24" fillId="2" fontId="3" numFmtId="0" xfId="0" applyAlignment="1" applyBorder="1" applyFill="1" applyFont="1">
      <alignment horizontal="right" readingOrder="0" shrinkToFit="0" vertical="center" wrapText="0"/>
    </xf>
    <xf borderId="7" fillId="0" fontId="1" numFmtId="0" xfId="0" applyAlignment="1" applyBorder="1" applyFont="1">
      <alignment readingOrder="0" shrinkToFit="0" vertical="bottom" wrapText="0"/>
    </xf>
    <xf borderId="24" fillId="2" fontId="3" numFmtId="0" xfId="0" applyAlignment="1" applyBorder="1" applyFill="1" applyFont="1">
      <alignment horizontal="center" shrinkToFit="0" vertical="center" wrapText="0"/>
    </xf>
    <xf borderId="25" fillId="2" fontId="1" numFmtId="0" xfId="0" applyAlignment="1" applyBorder="1" applyFill="1" applyFont="1">
      <alignment horizontal="center" shrinkToFit="0" vertical="center" wrapText="0"/>
    </xf>
    <xf borderId="2" fillId="0" fontId="1" numFmtId="0" xfId="0" applyAlignment="1" applyBorder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1" fillId="4" fontId="7" numFmtId="0" xfId="0" applyAlignment="1" applyBorder="1" applyFill="1" applyFont="1">
      <alignment horizontal="center" readingOrder="0" shrinkToFit="0" vertical="center" wrapText="0"/>
    </xf>
    <xf borderId="4" fillId="0" fontId="4" numFmtId="0" xfId="0" applyAlignment="1" applyBorder="1" applyFont="1">
      <alignment shrinkToFit="0" vertical="bottom" wrapText="0"/>
    </xf>
    <xf borderId="0" fillId="0" fontId="57" numFmtId="164" xfId="0" applyAlignment="1" applyFont="1" applyNumberFormat="1">
      <alignment shrinkToFit="0" vertical="bottom" wrapText="0"/>
    </xf>
    <xf borderId="5" fillId="3" fontId="1" numFmtId="0" xfId="0" applyAlignment="1" applyBorder="1" applyFill="1" applyFont="1">
      <alignment horizontal="center" readingOrder="0" shrinkToFit="0" vertical="bottom" wrapText="0"/>
    </xf>
    <xf borderId="1" fillId="7" fontId="1" numFmtId="0" xfId="0" applyAlignment="1" applyBorder="1" applyFill="1" applyFont="1">
      <alignment horizontal="left" readingOrder="0" shrinkToFit="0" vertical="bottom" wrapText="0"/>
    </xf>
    <xf borderId="0" fillId="7" fontId="3" numFmtId="0" xfId="0" applyAlignment="1" applyFill="1" applyFont="1">
      <alignment horizontal="center" readingOrder="0" shrinkToFit="0" vertical="bottom" wrapText="0"/>
    </xf>
    <xf borderId="2" fillId="7" fontId="3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3" fillId="7" fontId="1" numFmtId="0" xfId="0" applyAlignment="1" applyBorder="1" applyFill="1" applyFont="1">
      <alignment horizontal="center" readingOrder="0" shrinkToFit="0" vertical="bottom" wrapText="0"/>
    </xf>
    <xf borderId="4" fillId="7" fontId="1" numFmtId="0" xfId="0" applyAlignment="1" applyBorder="1" applyFill="1" applyFont="1">
      <alignment horizontal="left" readingOrder="0" shrinkToFit="0" vertical="bottom" wrapText="0"/>
    </xf>
    <xf borderId="5" fillId="7" fontId="1" numFmtId="0" xfId="0" applyAlignment="1" applyBorder="1" applyFill="1" applyFont="1">
      <alignment horizontal="center" readingOrder="0" shrinkToFit="0" vertical="bottom" wrapText="0"/>
    </xf>
    <xf borderId="6" fillId="7" fontId="1" numFmtId="0" xfId="0" applyAlignment="1" applyBorder="1" applyFill="1" applyFont="1">
      <alignment horizontal="left" readingOrder="0" shrinkToFit="0" vertical="bottom" wrapText="0"/>
    </xf>
    <xf borderId="7" fillId="7" fontId="3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8" fillId="7" fontId="1" numFmtId="0" xfId="0" applyAlignment="1" applyBorder="1" applyFill="1" applyFont="1">
      <alignment horizontal="center"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1" fillId="8" fontId="1" numFmtId="0" xfId="0" applyAlignment="1" applyBorder="1" applyFill="1" applyFont="1">
      <alignment horizontal="left" readingOrder="0" shrinkToFit="0" vertical="bottom" wrapText="0"/>
    </xf>
    <xf borderId="2" fillId="8" fontId="1" numFmtId="0" xfId="0" applyAlignment="1" applyBorder="1" applyFill="1" applyFont="1">
      <alignment horizontal="right" readingOrder="0" shrinkToFit="0" vertical="bottom" wrapText="0"/>
    </xf>
    <xf borderId="2" fillId="8" fontId="3" numFmtId="0" xfId="0" applyAlignment="1" applyBorder="1" applyFill="1" applyFont="1">
      <alignment horizontal="center" readingOrder="0" shrinkToFit="0" vertical="bottom" wrapText="0"/>
    </xf>
    <xf borderId="2" fillId="8" fontId="1" numFmtId="0" xfId="0" applyAlignment="1" applyBorder="1" applyFill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3" fillId="8" fontId="1" numFmtId="0" xfId="0" applyAlignment="1" applyBorder="1" applyFill="1" applyFont="1">
      <alignment horizontal="center" readingOrder="0" shrinkToFit="0" vertical="bottom" wrapText="0"/>
    </xf>
    <xf borderId="1" fillId="7" fontId="1" numFmtId="0" xfId="0" applyAlignment="1" applyBorder="1" applyFill="1" applyFont="1">
      <alignment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2" fillId="7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6" fillId="7" fontId="1" numFmtId="0" xfId="0" applyAlignment="1" applyBorder="1" applyFill="1" applyFont="1">
      <alignment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2" fillId="7" fontId="1" numFmtId="0" xfId="0" applyAlignment="1" applyBorder="1" applyFill="1" applyFont="1">
      <alignment horizontal="right" readingOrder="0" shrinkToFit="0" vertical="bottom" wrapText="0"/>
    </xf>
    <xf borderId="7" fillId="7" fontId="1" numFmtId="0" xfId="0" applyAlignment="1" applyBorder="1" applyFill="1" applyFont="1">
      <alignment readingOrder="0" shrinkToFit="0" vertical="bottom" wrapText="0"/>
    </xf>
    <xf borderId="4" fillId="8" fontId="1" numFmtId="0" xfId="0" applyAlignment="1" applyBorder="1" applyFill="1" applyFont="1">
      <alignment horizontal="left" readingOrder="0" shrinkToFit="0" vertical="bottom" wrapText="0"/>
    </xf>
    <xf borderId="0" fillId="8" fontId="1" numFmtId="0" xfId="0" applyAlignment="1" applyFill="1" applyFont="1">
      <alignment horizontal="right" readingOrder="0" shrinkToFit="0" vertical="bottom" wrapText="0"/>
    </xf>
    <xf borderId="2" fillId="7" fontId="3" numFmtId="0" xfId="0" applyAlignment="1" applyBorder="1" applyFill="1" applyFont="1">
      <alignment horizontal="center" shrinkToFit="0" vertical="bottom" wrapText="0"/>
    </xf>
    <xf borderId="3" fillId="7" fontId="1" numFmtId="0" xfId="0" applyAlignment="1" applyBorder="1" applyFill="1" applyFont="1">
      <alignment horizontal="center" shrinkToFit="0" vertical="bottom" wrapText="0"/>
    </xf>
    <xf borderId="0" fillId="8" fontId="3" numFmtId="0" xfId="0" applyAlignment="1" applyFill="1" applyFont="1">
      <alignment horizontal="center" readingOrder="0" shrinkToFit="0" vertical="bottom" wrapText="0"/>
    </xf>
    <xf borderId="0" fillId="8" fontId="1" numFmtId="0" xfId="0" applyAlignment="1" applyFill="1" applyFont="1">
      <alignment horizontal="center" readingOrder="0" shrinkToFit="0" vertical="bottom" wrapText="0"/>
    </xf>
    <xf borderId="5" fillId="8" fontId="1" numFmtId="0" xfId="0" applyAlignment="1" applyBorder="1" applyFill="1" applyFont="1">
      <alignment horizontal="center" readingOrder="0" shrinkToFit="0" vertical="bottom" wrapText="0"/>
    </xf>
    <xf borderId="0" fillId="7" fontId="1" numFmtId="0" xfId="0" applyAlignment="1" applyFill="1" applyFont="1">
      <alignment horizontal="right" readingOrder="0" shrinkToFit="0" vertical="bottom" wrapText="0"/>
    </xf>
    <xf borderId="0" fillId="7" fontId="3" numFmtId="0" xfId="0" applyAlignment="1" applyFill="1" applyFont="1">
      <alignment horizontal="center" shrinkToFit="0" vertical="bottom" wrapText="0"/>
    </xf>
    <xf borderId="5" fillId="7" fontId="1" numFmtId="0" xfId="0" applyAlignment="1" applyBorder="1" applyFill="1" applyFont="1">
      <alignment horizontal="center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4" fillId="0" fontId="58" numFmtId="0" xfId="0" applyAlignment="1" applyBorder="1" applyFont="1">
      <alignment horizontal="left" readingOrder="0" shrinkToFit="0" vertical="bottom" wrapText="0"/>
    </xf>
    <xf borderId="0" fillId="0" fontId="58" numFmtId="0" xfId="0" applyAlignment="1" applyFont="1">
      <alignment horizontal="right" readingOrder="0" shrinkToFit="0" vertical="bottom" wrapText="0"/>
    </xf>
    <xf borderId="0" fillId="0" fontId="59" numFmtId="0" xfId="0" applyAlignment="1" applyFont="1">
      <alignment horizontal="center" readingOrder="0" shrinkToFit="0" vertical="bottom" wrapText="0"/>
    </xf>
    <xf borderId="0" fillId="0" fontId="58" numFmtId="0" xfId="0" applyAlignment="1" applyFont="1">
      <alignment horizontal="center" readingOrder="0" shrinkToFit="0" vertical="bottom" wrapText="0"/>
    </xf>
    <xf borderId="0" fillId="0" fontId="59" numFmtId="0" xfId="0" applyAlignment="1" applyFont="1">
      <alignment horizontal="center" shrinkToFit="0" vertical="bottom" wrapText="0"/>
    </xf>
    <xf borderId="5" fillId="0" fontId="58" numFmtId="0" xfId="0" applyAlignment="1" applyBorder="1" applyFont="1">
      <alignment horizontal="center" readingOrder="0" shrinkToFit="0" vertical="bottom" wrapText="0"/>
    </xf>
    <xf borderId="6" fillId="4" fontId="7" numFmtId="0" xfId="0" applyAlignment="1" applyBorder="1" applyFill="1" applyFont="1">
      <alignment horizontal="center" readingOrder="0" shrinkToFit="0" vertical="center" wrapText="0"/>
    </xf>
    <xf borderId="6" fillId="0" fontId="1" numFmtId="0" xfId="0" applyAlignment="1" applyBorder="1" applyFont="1">
      <alignment horizontal="left" readingOrder="0" shrinkToFit="0" vertical="bottom" wrapText="0"/>
    </xf>
    <xf borderId="7" fillId="0" fontId="1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horizontal="center" readingOrder="0"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8" fillId="0" fontId="1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23" fillId="0" fontId="1" numFmtId="0" xfId="0" applyAlignment="1" applyBorder="1" applyFont="1">
      <alignment horizontal="left" readingOrder="0" shrinkToFit="0" vertical="bottom" wrapText="0"/>
    </xf>
    <xf borderId="24" fillId="0" fontId="1" numFmtId="0" xfId="0" applyAlignment="1" applyBorder="1" applyFont="1">
      <alignment horizontal="center" readingOrder="0" shrinkToFit="0" vertical="bottom" wrapText="0"/>
    </xf>
    <xf borderId="25" fillId="0" fontId="1" numFmtId="0" xfId="0" applyAlignment="1" applyBorder="1" applyFont="1">
      <alignment horizontal="center" readingOrder="0"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23" fillId="3" fontId="3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23" fillId="7" fontId="1" numFmtId="0" xfId="0" applyAlignment="1" applyBorder="1" applyFill="1" applyFont="1">
      <alignment horizontal="left" readingOrder="0" shrinkToFit="0" vertical="bottom" wrapText="0"/>
    </xf>
    <xf borderId="24" fillId="7" fontId="1" numFmtId="0" xfId="0" applyAlignment="1" applyBorder="1" applyFill="1" applyFont="1">
      <alignment horizontal="center" readingOrder="0" shrinkToFit="0" vertical="bottom" wrapText="0"/>
    </xf>
    <xf borderId="24" fillId="7" fontId="3" numFmtId="0" xfId="0" applyAlignment="1" applyBorder="1" applyFill="1" applyFont="1">
      <alignment horizontal="center" readingOrder="0" shrinkToFit="0" vertical="bottom" wrapText="0"/>
    </xf>
    <xf borderId="25" fillId="7" fontId="1" numFmtId="0" xfId="0" applyAlignment="1" applyBorder="1" applyFill="1" applyFont="1">
      <alignment horizontal="center" readingOrder="0" shrinkToFit="0" vertical="bottom" wrapText="0"/>
    </xf>
    <xf borderId="24" fillId="0" fontId="3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readingOrder="0" shrinkToFit="0" vertical="bottom" wrapText="0"/>
    </xf>
    <xf borderId="23" fillId="3" fontId="1" numFmtId="0" xfId="0" applyAlignment="1" applyBorder="1" applyFill="1" applyFont="1">
      <alignment horizontal="left" shrinkToFit="0" vertical="bottom" wrapText="0"/>
    </xf>
    <xf borderId="24" fillId="3" fontId="1" numFmtId="0" xfId="0" applyAlignment="1" applyBorder="1" applyFill="1" applyFont="1">
      <alignment horizontal="center" shrinkToFit="0" vertical="bottom" wrapText="0"/>
    </xf>
    <xf borderId="24" fillId="3" fontId="3" numFmtId="0" xfId="0" applyAlignment="1" applyBorder="1" applyFill="1" applyFont="1">
      <alignment horizontal="center" shrinkToFit="0" vertical="bottom" wrapText="0"/>
    </xf>
    <xf borderId="25" fillId="3" fontId="1" numFmtId="0" xfId="0" applyAlignment="1" applyBorder="1" applyFill="1" applyFont="1">
      <alignment horizontal="center" shrinkToFit="0" vertical="bottom" wrapText="0"/>
    </xf>
    <xf borderId="1" fillId="9" fontId="1" numFmtId="0" xfId="0" applyAlignment="1" applyBorder="1" applyFill="1" applyFont="1">
      <alignment horizontal="left" readingOrder="0" shrinkToFit="0" vertical="bottom" wrapText="0"/>
    </xf>
    <xf borderId="2" fillId="9" fontId="1" numFmtId="0" xfId="0" applyAlignment="1" applyBorder="1" applyFill="1" applyFont="1">
      <alignment horizontal="center" readingOrder="0" shrinkToFit="0" vertical="bottom" wrapText="0"/>
    </xf>
    <xf borderId="2" fillId="9" fontId="3" numFmtId="0" xfId="0" applyAlignment="1" applyBorder="1" applyFill="1" applyFont="1">
      <alignment horizontal="center" readingOrder="0" shrinkToFit="0" vertical="bottom" wrapText="0"/>
    </xf>
    <xf borderId="3" fillId="9" fontId="1" numFmtId="0" xfId="0" applyAlignment="1" applyBorder="1" applyFill="1" applyFont="1">
      <alignment horizontal="center" readingOrder="0" shrinkToFit="0" vertical="bottom" wrapText="0"/>
    </xf>
    <xf borderId="4" fillId="9" fontId="1" numFmtId="0" xfId="0" applyAlignment="1" applyBorder="1" applyFill="1" applyFont="1">
      <alignment horizontal="left" readingOrder="0" shrinkToFit="0" vertical="bottom" wrapText="0"/>
    </xf>
    <xf borderId="0" fillId="9" fontId="1" numFmtId="0" xfId="0" applyAlignment="1" applyFill="1" applyFont="1">
      <alignment horizontal="center" readingOrder="0" shrinkToFit="0" vertical="bottom" wrapText="0"/>
    </xf>
    <xf borderId="0" fillId="9" fontId="3" numFmtId="0" xfId="0" applyAlignment="1" applyFill="1" applyFont="1">
      <alignment horizontal="center" readingOrder="0" shrinkToFit="0" vertical="bottom" wrapText="0"/>
    </xf>
    <xf borderId="5" fillId="9" fontId="1" numFmtId="0" xfId="0" applyAlignment="1" applyBorder="1" applyFill="1" applyFont="1">
      <alignment horizontal="center"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0" fillId="9" fontId="3" numFmtId="0" xfId="0" applyAlignment="1" applyFill="1" applyFont="1">
      <alignment horizontal="center" shrinkToFit="0" vertical="bottom" wrapText="0"/>
    </xf>
    <xf borderId="5" fillId="9" fontId="1" numFmtId="0" xfId="0" applyAlignment="1" applyBorder="1" applyFill="1" applyFont="1">
      <alignment horizontal="center" shrinkToFit="0" vertical="bottom" wrapText="0"/>
    </xf>
    <xf borderId="24" fillId="0" fontId="1" numFmtId="0" xfId="0" applyAlignment="1" applyBorder="1" applyFont="1">
      <alignment horizontal="left" shrinkToFit="0" vertical="bottom" wrapText="0"/>
    </xf>
    <xf borderId="0" fillId="0" fontId="60" numFmtId="164" xfId="0" applyAlignment="1" applyFont="1" applyNumberFormat="1">
      <alignment horizontal="center" shrinkToFit="0" vertical="bottom" wrapText="0"/>
    </xf>
    <xf borderId="24" fillId="0" fontId="1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4" fillId="3" fontId="1" numFmtId="0" xfId="0" applyAlignment="1" applyBorder="1" applyFill="1" applyFont="1">
      <alignment horizontal="left" readingOrder="0"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5" fillId="3" fontId="1" numFmtId="0" xfId="0" applyAlignment="1" applyBorder="1" applyFill="1" applyFont="1">
      <alignment horizontal="center" readingOrder="0" shrinkToFit="0" vertical="bottom" wrapText="0"/>
    </xf>
    <xf borderId="0" fillId="8" fontId="1" numFmtId="0" xfId="0" applyAlignment="1" applyFill="1" applyFont="1">
      <alignment readingOrder="0" shrinkToFit="0" vertical="bottom" wrapText="0"/>
    </xf>
    <xf borderId="6" fillId="9" fontId="1" numFmtId="0" xfId="0" applyAlignment="1" applyBorder="1" applyFill="1" applyFont="1">
      <alignment horizontal="left" readingOrder="0" shrinkToFit="0" vertical="bottom" wrapText="0"/>
    </xf>
    <xf borderId="7" fillId="9" fontId="1" numFmtId="0" xfId="0" applyAlignment="1" applyBorder="1" applyFill="1" applyFont="1">
      <alignment horizontal="center" readingOrder="0" shrinkToFit="0" vertical="bottom" wrapText="0"/>
    </xf>
    <xf borderId="7" fillId="9" fontId="3" numFmtId="0" xfId="0" applyAlignment="1" applyBorder="1" applyFill="1" applyFont="1">
      <alignment horizontal="center" readingOrder="0" shrinkToFit="0" vertical="bottom" wrapText="0"/>
    </xf>
    <xf borderId="1" fillId="0" fontId="61" numFmtId="0" xfId="0" applyAlignment="1" applyBorder="1" applyFont="1">
      <alignment readingOrder="0" shrinkToFit="0" vertical="bottom" wrapText="0"/>
    </xf>
    <xf borderId="2" fillId="0" fontId="61" numFmtId="0" xfId="0" applyAlignment="1" applyBorder="1" applyFont="1">
      <alignment readingOrder="0" shrinkToFit="0" vertical="bottom" wrapText="0"/>
    </xf>
    <xf borderId="2" fillId="0" fontId="62" numFmtId="0" xfId="0" applyAlignment="1" applyBorder="1" applyFont="1">
      <alignment horizontal="center" readingOrder="0" shrinkToFit="0" vertical="bottom" wrapText="0"/>
    </xf>
    <xf borderId="2" fillId="0" fontId="61" numFmtId="0" xfId="0" applyAlignment="1" applyBorder="1" applyFont="1">
      <alignment horizontal="center" readingOrder="0" shrinkToFit="0" vertical="bottom" wrapText="0"/>
    </xf>
    <xf borderId="3" fillId="0" fontId="61" numFmtId="0" xfId="0" applyAlignment="1" applyBorder="1" applyFont="1">
      <alignment horizontal="center" readingOrder="0" shrinkToFit="0" vertical="bottom" wrapText="0"/>
    </xf>
    <xf borderId="4" fillId="0" fontId="61" numFmtId="0" xfId="0" applyAlignment="1" applyBorder="1" applyFont="1">
      <alignment horizontal="center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6" fillId="3" fontId="1" numFmtId="0" xfId="0" applyAlignment="1" applyBorder="1" applyFill="1" applyFont="1">
      <alignment horizontal="left" readingOrder="0" shrinkToFit="0" vertical="bottom" wrapText="0"/>
    </xf>
    <xf borderId="7" fillId="3" fontId="1" numFmtId="0" xfId="0" applyAlignment="1" applyBorder="1" applyFill="1" applyFont="1">
      <alignment readingOrder="0" shrinkToFit="0" vertical="bottom" wrapText="0"/>
    </xf>
    <xf borderId="7" fillId="3" fontId="3" numFmtId="0" xfId="0" applyAlignment="1" applyBorder="1" applyFill="1" applyFont="1">
      <alignment horizontal="center" readingOrder="0" shrinkToFit="0" vertical="bottom" wrapText="0"/>
    </xf>
    <xf borderId="7" fillId="3" fontId="1" numFmtId="0" xfId="0" applyAlignment="1" applyBorder="1" applyFill="1" applyFont="1">
      <alignment horizontal="center" readingOrder="0" shrinkToFit="0" vertical="bottom" wrapText="0"/>
    </xf>
    <xf borderId="8" fillId="3" fontId="1" numFmtId="0" xfId="0" applyAlignment="1" applyBorder="1" applyFill="1" applyFont="1">
      <alignment horizontal="center" readingOrder="0" shrinkToFit="0" vertical="bottom" wrapText="0"/>
    </xf>
    <xf borderId="2" fillId="0" fontId="62" numFmtId="0" xfId="0" applyAlignment="1" applyBorder="1" applyFont="1">
      <alignment horizontal="center" readingOrder="0" shrinkToFit="0" vertical="bottom" wrapText="0"/>
    </xf>
    <xf borderId="25" fillId="2" fontId="4" numFmtId="0" xfId="0" applyAlignment="1" applyBorder="1" applyFill="1" applyFont="1">
      <alignment horizontal="center" shrinkToFit="0" vertical="bottom" wrapText="0"/>
    </xf>
    <xf borderId="23" fillId="0" fontId="3" numFmtId="0" xfId="0" applyAlignment="1" applyBorder="1" applyFont="1">
      <alignment horizontal="center" readingOrder="0" shrinkToFit="0" vertical="bottom" wrapText="0"/>
    </xf>
    <xf borderId="2" fillId="9" fontId="3" numFmtId="0" xfId="0" applyAlignment="1" applyBorder="1" applyFill="1" applyFont="1">
      <alignment horizontal="center" readingOrder="0" shrinkToFit="0" vertical="bottom" wrapText="0"/>
    </xf>
    <xf borderId="6" fillId="8" fontId="1" numFmtId="0" xfId="0" applyAlignment="1" applyBorder="1" applyFill="1" applyFont="1">
      <alignment horizontal="left" readingOrder="0" shrinkToFit="0" vertical="bottom" wrapText="0"/>
    </xf>
    <xf borderId="7" fillId="8" fontId="1" numFmtId="0" xfId="0" applyAlignment="1" applyBorder="1" applyFill="1" applyFont="1">
      <alignment horizontal="center" readingOrder="0" shrinkToFit="0" vertical="bottom" wrapText="0"/>
    </xf>
    <xf borderId="7" fillId="8" fontId="3" numFmtId="0" xfId="0" applyAlignment="1" applyBorder="1" applyFill="1" applyFont="1">
      <alignment horizontal="center" readingOrder="0" shrinkToFit="0" vertical="bottom" wrapText="0"/>
    </xf>
    <xf borderId="23" fillId="0" fontId="61" numFmtId="0" xfId="0" applyAlignment="1" applyBorder="1" applyFont="1">
      <alignment readingOrder="0" shrinkToFit="0" vertical="bottom" wrapText="0"/>
    </xf>
    <xf borderId="24" fillId="0" fontId="61" numFmtId="0" xfId="0" applyAlignment="1" applyBorder="1" applyFont="1">
      <alignment readingOrder="0" shrinkToFit="0" vertical="bottom" wrapText="0"/>
    </xf>
    <xf borderId="24" fillId="0" fontId="62" numFmtId="0" xfId="0" applyAlignment="1" applyBorder="1" applyFont="1">
      <alignment horizontal="center" readingOrder="0" shrinkToFit="0" vertical="bottom" wrapText="0"/>
    </xf>
    <xf borderId="24" fillId="0" fontId="61" numFmtId="0" xfId="0" applyAlignment="1" applyBorder="1" applyFont="1">
      <alignment horizontal="center" readingOrder="0" shrinkToFit="0" vertical="bottom" wrapText="0"/>
    </xf>
    <xf borderId="8" fillId="8" fontId="1" numFmtId="0" xfId="0" applyAlignment="1" applyBorder="1" applyFill="1" applyFont="1">
      <alignment horizontal="center" readingOrder="0" shrinkToFit="0" vertical="bottom" wrapText="0"/>
    </xf>
    <xf borderId="25" fillId="0" fontId="61" numFmtId="0" xfId="0" applyAlignment="1" applyBorder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left" readingOrder="0" shrinkToFit="0" vertical="bottom" wrapText="0"/>
    </xf>
    <xf borderId="2" fillId="3" fontId="1" numFmtId="0" xfId="0" applyAlignment="1" applyBorder="1" applyFill="1" applyFont="1">
      <alignment horizontal="center" readingOrder="0" shrinkToFit="0" vertical="bottom" wrapText="0"/>
    </xf>
    <xf borderId="2" fillId="3" fontId="3" numFmtId="0" xfId="0" applyAlignment="1" applyBorder="1" applyFill="1" applyFont="1">
      <alignment horizontal="center" readingOrder="0" shrinkToFit="0" vertical="bottom" wrapText="0"/>
    </xf>
    <xf borderId="3" fillId="3" fontId="1" numFmtId="0" xfId="0" applyAlignment="1" applyBorder="1" applyFill="1" applyFont="1">
      <alignment horizontal="center" readingOrder="0" shrinkToFit="0" vertical="bottom" wrapText="0"/>
    </xf>
    <xf borderId="6" fillId="0" fontId="61" numFmtId="0" xfId="0" applyAlignment="1" applyBorder="1" applyFont="1">
      <alignment readingOrder="0" shrinkToFit="0" vertical="bottom" wrapText="0"/>
    </xf>
    <xf borderId="7" fillId="0" fontId="61" numFmtId="0" xfId="0" applyAlignment="1" applyBorder="1" applyFont="1">
      <alignment readingOrder="0" shrinkToFit="0" vertical="bottom" wrapText="0"/>
    </xf>
    <xf borderId="7" fillId="0" fontId="62" numFmtId="0" xfId="0" applyAlignment="1" applyBorder="1" applyFont="1">
      <alignment horizontal="center" readingOrder="0" shrinkToFit="0" vertical="bottom" wrapText="0"/>
    </xf>
    <xf borderId="7" fillId="0" fontId="61" numFmtId="0" xfId="0" applyAlignment="1" applyBorder="1" applyFont="1">
      <alignment horizontal="center" readingOrder="0" shrinkToFit="0" vertical="bottom" wrapText="0"/>
    </xf>
    <xf borderId="8" fillId="0" fontId="61" numFmtId="0" xfId="0" applyAlignment="1" applyBorder="1" applyFont="1">
      <alignment horizontal="center" readingOrder="0" shrinkToFit="0" vertical="bottom" wrapText="0"/>
    </xf>
    <xf borderId="1" fillId="10" fontId="1" numFmtId="0" xfId="0" applyAlignment="1" applyBorder="1" applyFill="1" applyFont="1">
      <alignment horizontal="left" readingOrder="0" shrinkToFit="0" vertical="bottom" wrapText="0"/>
    </xf>
    <xf borderId="2" fillId="10" fontId="1" numFmtId="0" xfId="0" applyAlignment="1" applyBorder="1" applyFill="1" applyFont="1">
      <alignment horizontal="center" readingOrder="0" shrinkToFit="0" vertical="bottom" wrapText="0"/>
    </xf>
    <xf borderId="2" fillId="10" fontId="3" numFmtId="0" xfId="0" applyAlignment="1" applyBorder="1" applyFill="1" applyFont="1">
      <alignment horizontal="center" readingOrder="0" shrinkToFit="0" vertical="bottom" wrapText="0"/>
    </xf>
    <xf borderId="3" fillId="10" fontId="1" numFmtId="0" xfId="0" applyAlignment="1" applyBorder="1" applyFill="1" applyFont="1">
      <alignment horizontal="center" readingOrder="0" shrinkToFit="0" vertical="bottom" wrapText="0"/>
    </xf>
    <xf borderId="4" fillId="10" fontId="1" numFmtId="0" xfId="0" applyAlignment="1" applyBorder="1" applyFill="1" applyFont="1">
      <alignment horizontal="left" readingOrder="0" shrinkToFit="0" vertical="bottom" wrapText="0"/>
    </xf>
    <xf borderId="0" fillId="10" fontId="1" numFmtId="0" xfId="0" applyAlignment="1" applyFill="1" applyFont="1">
      <alignment horizontal="center" readingOrder="0" shrinkToFit="0" vertical="bottom" wrapText="0"/>
    </xf>
    <xf borderId="0" fillId="10" fontId="3" numFmtId="0" xfId="0" applyAlignment="1" applyFill="1" applyFont="1">
      <alignment horizontal="center" readingOrder="0" shrinkToFit="0" vertical="bottom" wrapText="0"/>
    </xf>
    <xf borderId="5" fillId="10" fontId="1" numFmtId="0" xfId="0" applyAlignment="1" applyBorder="1" applyFill="1" applyFont="1">
      <alignment horizontal="center" readingOrder="0" shrinkToFit="0" vertical="bottom" wrapText="0"/>
    </xf>
    <xf borderId="1" fillId="0" fontId="6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63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23" fillId="0" fontId="1" numFmtId="0" xfId="0" applyAlignment="1" applyBorder="1" applyFont="1">
      <alignment readingOrder="0" shrinkToFit="0" vertical="bottom" wrapText="0"/>
    </xf>
    <xf borderId="23" fillId="9" fontId="1" numFmtId="0" xfId="0" applyAlignment="1" applyBorder="1" applyFill="1" applyFont="1">
      <alignment horizontal="left" readingOrder="0" shrinkToFit="0" vertical="center" wrapText="0"/>
    </xf>
    <xf borderId="0" fillId="10" fontId="1" numFmtId="0" xfId="0" applyAlignment="1" applyFill="1" applyFont="1">
      <alignment readingOrder="0" shrinkToFit="0" vertical="bottom" wrapText="0"/>
    </xf>
    <xf borderId="4" fillId="0" fontId="61" numFmtId="0" xfId="0" applyAlignment="1" applyBorder="1" applyFont="1">
      <alignment readingOrder="0" shrinkToFit="0" vertical="bottom" wrapText="0"/>
    </xf>
    <xf borderId="0" fillId="0" fontId="61" numFmtId="0" xfId="0" applyAlignment="1" applyFont="1">
      <alignment readingOrder="0" shrinkToFit="0" vertical="bottom" wrapText="0"/>
    </xf>
    <xf borderId="0" fillId="0" fontId="62" numFmtId="0" xfId="0" applyAlignment="1" applyFont="1">
      <alignment horizontal="center" readingOrder="0" shrinkToFit="0" vertical="bottom" wrapText="0"/>
    </xf>
    <xf borderId="0" fillId="0" fontId="61" numFmtId="0" xfId="0" applyAlignment="1" applyFont="1">
      <alignment horizontal="center" readingOrder="0" shrinkToFit="0" vertical="bottom" wrapText="0"/>
    </xf>
    <xf borderId="5" fillId="0" fontId="6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0" Type="http://schemas.openxmlformats.org/officeDocument/2006/relationships/worksheet" Target="worksheets/sheet4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40.png"/><Relationship Id="rId13" Type="http://schemas.openxmlformats.org/officeDocument/2006/relationships/image" Target="../media/image31.jpg"/><Relationship Id="rId12" Type="http://schemas.openxmlformats.org/officeDocument/2006/relationships/image" Target="../media/image2.png"/><Relationship Id="rId1" Type="http://schemas.openxmlformats.org/officeDocument/2006/relationships/image" Target="../media/image8.jpg"/><Relationship Id="rId2" Type="http://schemas.openxmlformats.org/officeDocument/2006/relationships/image" Target="../media/image3.png"/><Relationship Id="rId3" Type="http://schemas.openxmlformats.org/officeDocument/2006/relationships/image" Target="../media/image21.jpg"/><Relationship Id="rId4" Type="http://schemas.openxmlformats.org/officeDocument/2006/relationships/image" Target="../media/image10.jpg"/><Relationship Id="rId9" Type="http://schemas.openxmlformats.org/officeDocument/2006/relationships/image" Target="../media/image20.jpg"/><Relationship Id="rId15" Type="http://schemas.openxmlformats.org/officeDocument/2006/relationships/image" Target="../media/image33.png"/><Relationship Id="rId14" Type="http://schemas.openxmlformats.org/officeDocument/2006/relationships/image" Target="../media/image27.png"/><Relationship Id="rId5" Type="http://schemas.openxmlformats.org/officeDocument/2006/relationships/image" Target="../media/image9.png"/><Relationship Id="rId6" Type="http://schemas.openxmlformats.org/officeDocument/2006/relationships/image" Target="../media/image4.png"/><Relationship Id="rId7" Type="http://schemas.openxmlformats.org/officeDocument/2006/relationships/image" Target="../media/image5.jpg"/><Relationship Id="rId8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40.png"/><Relationship Id="rId10" Type="http://schemas.openxmlformats.org/officeDocument/2006/relationships/image" Target="../media/image5.jpg"/><Relationship Id="rId1" Type="http://schemas.openxmlformats.org/officeDocument/2006/relationships/image" Target="../media/image1.jpg"/><Relationship Id="rId2" Type="http://schemas.openxmlformats.org/officeDocument/2006/relationships/image" Target="../media/image20.jpg"/><Relationship Id="rId3" Type="http://schemas.openxmlformats.org/officeDocument/2006/relationships/image" Target="../media/image8.jpg"/><Relationship Id="rId4" Type="http://schemas.openxmlformats.org/officeDocument/2006/relationships/image" Target="../media/image3.png"/><Relationship Id="rId9" Type="http://schemas.openxmlformats.org/officeDocument/2006/relationships/image" Target="../media/image28.png"/><Relationship Id="rId5" Type="http://schemas.openxmlformats.org/officeDocument/2006/relationships/image" Target="../media/image4.png"/><Relationship Id="rId6" Type="http://schemas.openxmlformats.org/officeDocument/2006/relationships/image" Target="../media/image21.jpg"/><Relationship Id="rId7" Type="http://schemas.openxmlformats.org/officeDocument/2006/relationships/image" Target="../media/image10.jpg"/><Relationship Id="rId8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25.png"/><Relationship Id="rId13" Type="http://schemas.openxmlformats.org/officeDocument/2006/relationships/image" Target="../media/image28.png"/><Relationship Id="rId12" Type="http://schemas.openxmlformats.org/officeDocument/2006/relationships/image" Target="../media/image4.png"/><Relationship Id="rId1" Type="http://schemas.openxmlformats.org/officeDocument/2006/relationships/image" Target="../media/image12.png"/><Relationship Id="rId2" Type="http://schemas.openxmlformats.org/officeDocument/2006/relationships/image" Target="../media/image1.jpg"/><Relationship Id="rId3" Type="http://schemas.openxmlformats.org/officeDocument/2006/relationships/image" Target="../media/image5.jpg"/><Relationship Id="rId4" Type="http://schemas.openxmlformats.org/officeDocument/2006/relationships/image" Target="../media/image2.png"/><Relationship Id="rId9" Type="http://schemas.openxmlformats.org/officeDocument/2006/relationships/image" Target="../media/image8.jpg"/><Relationship Id="rId5" Type="http://schemas.openxmlformats.org/officeDocument/2006/relationships/image" Target="../media/image7.png"/><Relationship Id="rId6" Type="http://schemas.openxmlformats.org/officeDocument/2006/relationships/image" Target="../media/image26.jpg"/><Relationship Id="rId7" Type="http://schemas.openxmlformats.org/officeDocument/2006/relationships/image" Target="../media/image20.jpg"/><Relationship Id="rId8" Type="http://schemas.openxmlformats.org/officeDocument/2006/relationships/image" Target="../media/image22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37.jpg"/><Relationship Id="rId10" Type="http://schemas.openxmlformats.org/officeDocument/2006/relationships/image" Target="../media/image22.png"/><Relationship Id="rId13" Type="http://schemas.openxmlformats.org/officeDocument/2006/relationships/image" Target="../media/image46.png"/><Relationship Id="rId12" Type="http://schemas.openxmlformats.org/officeDocument/2006/relationships/image" Target="../media/image59.png"/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25.png"/><Relationship Id="rId9" Type="http://schemas.openxmlformats.org/officeDocument/2006/relationships/image" Target="../media/image34.jpg"/><Relationship Id="rId15" Type="http://schemas.openxmlformats.org/officeDocument/2006/relationships/image" Target="../media/image64.png"/><Relationship Id="rId14" Type="http://schemas.openxmlformats.org/officeDocument/2006/relationships/image" Target="../media/image29.jpg"/><Relationship Id="rId5" Type="http://schemas.openxmlformats.org/officeDocument/2006/relationships/image" Target="../media/image7.png"/><Relationship Id="rId6" Type="http://schemas.openxmlformats.org/officeDocument/2006/relationships/image" Target="../media/image26.jpg"/><Relationship Id="rId7" Type="http://schemas.openxmlformats.org/officeDocument/2006/relationships/image" Target="../media/image5.jpg"/><Relationship Id="rId8" Type="http://schemas.openxmlformats.org/officeDocument/2006/relationships/image" Target="../media/image49.jp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22.png"/><Relationship Id="rId10" Type="http://schemas.openxmlformats.org/officeDocument/2006/relationships/image" Target="../media/image5.jpg"/><Relationship Id="rId13" Type="http://schemas.openxmlformats.org/officeDocument/2006/relationships/image" Target="../media/image77.jpg"/><Relationship Id="rId12" Type="http://schemas.openxmlformats.org/officeDocument/2006/relationships/image" Target="../media/image55.jpg"/><Relationship Id="rId1" Type="http://schemas.openxmlformats.org/officeDocument/2006/relationships/image" Target="../media/image8.jpg"/><Relationship Id="rId2" Type="http://schemas.openxmlformats.org/officeDocument/2006/relationships/image" Target="../media/image12.png"/><Relationship Id="rId3" Type="http://schemas.openxmlformats.org/officeDocument/2006/relationships/image" Target="../media/image1.jpg"/><Relationship Id="rId4" Type="http://schemas.openxmlformats.org/officeDocument/2006/relationships/image" Target="../media/image2.png"/><Relationship Id="rId9" Type="http://schemas.openxmlformats.org/officeDocument/2006/relationships/image" Target="../media/image28.png"/><Relationship Id="rId14" Type="http://schemas.openxmlformats.org/officeDocument/2006/relationships/image" Target="../media/image82.jpg"/><Relationship Id="rId5" Type="http://schemas.openxmlformats.org/officeDocument/2006/relationships/image" Target="../media/image10.jpg"/><Relationship Id="rId6" Type="http://schemas.openxmlformats.org/officeDocument/2006/relationships/image" Target="../media/image20.jpg"/><Relationship Id="rId7" Type="http://schemas.openxmlformats.org/officeDocument/2006/relationships/image" Target="../media/image3.png"/><Relationship Id="rId8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jpg"/><Relationship Id="rId10" Type="http://schemas.openxmlformats.org/officeDocument/2006/relationships/image" Target="../media/image20.jpg"/><Relationship Id="rId13" Type="http://schemas.openxmlformats.org/officeDocument/2006/relationships/image" Target="../media/image29.jpg"/><Relationship Id="rId12" Type="http://schemas.openxmlformats.org/officeDocument/2006/relationships/image" Target="../media/image44.png"/><Relationship Id="rId1" Type="http://schemas.openxmlformats.org/officeDocument/2006/relationships/image" Target="../media/image2.png"/><Relationship Id="rId2" Type="http://schemas.openxmlformats.org/officeDocument/2006/relationships/image" Target="../media/image1.jp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image" Target="../media/image72.jpg"/><Relationship Id="rId5" Type="http://schemas.openxmlformats.org/officeDocument/2006/relationships/image" Target="../media/image52.jpg"/><Relationship Id="rId6" Type="http://schemas.openxmlformats.org/officeDocument/2006/relationships/image" Target="../media/image12.png"/><Relationship Id="rId7" Type="http://schemas.openxmlformats.org/officeDocument/2006/relationships/image" Target="../media/image10.jpg"/><Relationship Id="rId8" Type="http://schemas.openxmlformats.org/officeDocument/2006/relationships/image" Target="../media/image28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40.png"/><Relationship Id="rId10" Type="http://schemas.openxmlformats.org/officeDocument/2006/relationships/image" Target="../media/image52.jpg"/><Relationship Id="rId13" Type="http://schemas.openxmlformats.org/officeDocument/2006/relationships/image" Target="../media/image70.png"/><Relationship Id="rId12" Type="http://schemas.openxmlformats.org/officeDocument/2006/relationships/image" Target="../media/image26.jpg"/><Relationship Id="rId1" Type="http://schemas.openxmlformats.org/officeDocument/2006/relationships/image" Target="../media/image12.png"/><Relationship Id="rId2" Type="http://schemas.openxmlformats.org/officeDocument/2006/relationships/image" Target="../media/image73.png"/><Relationship Id="rId3" Type="http://schemas.openxmlformats.org/officeDocument/2006/relationships/image" Target="../media/image37.jpg"/><Relationship Id="rId4" Type="http://schemas.openxmlformats.org/officeDocument/2006/relationships/image" Target="../media/image28.png"/><Relationship Id="rId9" Type="http://schemas.openxmlformats.org/officeDocument/2006/relationships/image" Target="../media/image25.png"/><Relationship Id="rId15" Type="http://schemas.openxmlformats.org/officeDocument/2006/relationships/image" Target="../media/image44.png"/><Relationship Id="rId14" Type="http://schemas.openxmlformats.org/officeDocument/2006/relationships/image" Target="../media/image10.jpg"/><Relationship Id="rId17" Type="http://schemas.openxmlformats.org/officeDocument/2006/relationships/image" Target="../media/image81.jpg"/><Relationship Id="rId16" Type="http://schemas.openxmlformats.org/officeDocument/2006/relationships/image" Target="../media/image65.jpg"/><Relationship Id="rId5" Type="http://schemas.openxmlformats.org/officeDocument/2006/relationships/image" Target="../media/image2.png"/><Relationship Id="rId6" Type="http://schemas.openxmlformats.org/officeDocument/2006/relationships/image" Target="../media/image1.jpg"/><Relationship Id="rId7" Type="http://schemas.openxmlformats.org/officeDocument/2006/relationships/image" Target="../media/image7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65</xdr:row>
      <xdr:rowOff>28575</xdr:rowOff>
    </xdr:from>
    <xdr:ext cx="476250" cy="457200"/>
    <xdr:pic>
      <xdr:nvPicPr>
        <xdr:cNvPr id="0" name="image8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40</xdr:row>
      <xdr:rowOff>47625</xdr:rowOff>
    </xdr:from>
    <xdr:ext cx="533400" cy="3810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74</xdr:row>
      <xdr:rowOff>47625</xdr:rowOff>
    </xdr:from>
    <xdr:ext cx="381000" cy="381000"/>
    <xdr:pic>
      <xdr:nvPicPr>
        <xdr:cNvPr id="0" name="image2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22</xdr:row>
      <xdr:rowOff>38100</xdr:rowOff>
    </xdr:from>
    <xdr:ext cx="552450" cy="409575"/>
    <xdr:pic>
      <xdr:nvPicPr>
        <xdr:cNvPr id="0" name="image10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80</xdr:row>
      <xdr:rowOff>47625</xdr:rowOff>
    </xdr:from>
    <xdr:ext cx="476250" cy="438150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19</xdr:row>
      <xdr:rowOff>19050</xdr:rowOff>
    </xdr:from>
    <xdr:ext cx="476250" cy="457200"/>
    <xdr:pic>
      <xdr:nvPicPr>
        <xdr:cNvPr id="0" name="image8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34</xdr:row>
      <xdr:rowOff>19050</xdr:rowOff>
    </xdr:from>
    <xdr:ext cx="476250" cy="438150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71</xdr:row>
      <xdr:rowOff>28575</xdr:rowOff>
    </xdr:from>
    <xdr:ext cx="476250" cy="409575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13</xdr:row>
      <xdr:rowOff>47625</xdr:rowOff>
    </xdr:from>
    <xdr:ext cx="428625" cy="381000"/>
    <xdr:pic>
      <xdr:nvPicPr>
        <xdr:cNvPr id="0" name="image5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68</xdr:row>
      <xdr:rowOff>47625</xdr:rowOff>
    </xdr:from>
    <xdr:ext cx="533400" cy="3810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31</xdr:row>
      <xdr:rowOff>19050</xdr:rowOff>
    </xdr:from>
    <xdr:ext cx="476250" cy="457200"/>
    <xdr:pic>
      <xdr:nvPicPr>
        <xdr:cNvPr id="0" name="image24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25</xdr:row>
      <xdr:rowOff>38100</xdr:rowOff>
    </xdr:from>
    <xdr:ext cx="533400" cy="381000"/>
    <xdr:pic>
      <xdr:nvPicPr>
        <xdr:cNvPr id="0" name="image1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37</xdr:row>
      <xdr:rowOff>28575</xdr:rowOff>
    </xdr:from>
    <xdr:ext cx="428625" cy="381000"/>
    <xdr:pic>
      <xdr:nvPicPr>
        <xdr:cNvPr id="0" name="image5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55</xdr:row>
      <xdr:rowOff>28575</xdr:rowOff>
    </xdr:from>
    <xdr:ext cx="381000" cy="381000"/>
    <xdr:pic>
      <xdr:nvPicPr>
        <xdr:cNvPr id="0" name="image20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49</xdr:row>
      <xdr:rowOff>47625</xdr:rowOff>
    </xdr:from>
    <xdr:ext cx="533400" cy="381000"/>
    <xdr:pic>
      <xdr:nvPicPr>
        <xdr:cNvPr id="0" name="image4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59</xdr:row>
      <xdr:rowOff>28575</xdr:rowOff>
    </xdr:from>
    <xdr:ext cx="533400" cy="381000"/>
    <xdr:pic>
      <xdr:nvPicPr>
        <xdr:cNvPr id="0" name="image1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10</xdr:row>
      <xdr:rowOff>57150</xdr:rowOff>
    </xdr:from>
    <xdr:ext cx="533400" cy="381000"/>
    <xdr:pic>
      <xdr:nvPicPr>
        <xdr:cNvPr id="0" name="image1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16</xdr:row>
      <xdr:rowOff>28575</xdr:rowOff>
    </xdr:from>
    <xdr:ext cx="533400" cy="381000"/>
    <xdr:pic>
      <xdr:nvPicPr>
        <xdr:cNvPr id="0" name="image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43</xdr:row>
      <xdr:rowOff>47625</xdr:rowOff>
    </xdr:from>
    <xdr:ext cx="533400" cy="381000"/>
    <xdr:pic>
      <xdr:nvPicPr>
        <xdr:cNvPr id="0" name="image1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28</xdr:row>
      <xdr:rowOff>38100</xdr:rowOff>
    </xdr:from>
    <xdr:ext cx="552450" cy="409575"/>
    <xdr:pic>
      <xdr:nvPicPr>
        <xdr:cNvPr id="0" name="image10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62</xdr:row>
      <xdr:rowOff>9525</xdr:rowOff>
    </xdr:from>
    <xdr:ext cx="533400" cy="457200"/>
    <xdr:pic>
      <xdr:nvPicPr>
        <xdr:cNvPr id="0" name="image31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77</xdr:row>
      <xdr:rowOff>19050</xdr:rowOff>
    </xdr:from>
    <xdr:ext cx="476250" cy="457200"/>
    <xdr:pic>
      <xdr:nvPicPr>
        <xdr:cNvPr id="0" name="image27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52</xdr:row>
      <xdr:rowOff>19050</xdr:rowOff>
    </xdr:from>
    <xdr:ext cx="533400" cy="447675"/>
    <xdr:pic>
      <xdr:nvPicPr>
        <xdr:cNvPr id="0" name="image3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19</xdr:row>
      <xdr:rowOff>66675</xdr:rowOff>
    </xdr:from>
    <xdr:ext cx="533400" cy="381000"/>
    <xdr:pic>
      <xdr:nvPicPr>
        <xdr:cNvPr id="0" name="image17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28</xdr:row>
      <xdr:rowOff>57150</xdr:rowOff>
    </xdr:from>
    <xdr:ext cx="381000" cy="381000"/>
    <xdr:pic>
      <xdr:nvPicPr>
        <xdr:cNvPr id="0" name="image20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43</xdr:row>
      <xdr:rowOff>19050</xdr:rowOff>
    </xdr:from>
    <xdr:ext cx="476250" cy="457200"/>
    <xdr:pic>
      <xdr:nvPicPr>
        <xdr:cNvPr id="0" name="image8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56</xdr:row>
      <xdr:rowOff>85725</xdr:rowOff>
    </xdr:from>
    <xdr:ext cx="533400" cy="3810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10</xdr:row>
      <xdr:rowOff>19050</xdr:rowOff>
    </xdr:from>
    <xdr:ext cx="533400" cy="4381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13</xdr:row>
      <xdr:rowOff>19050</xdr:rowOff>
    </xdr:from>
    <xdr:ext cx="381000" cy="381000"/>
    <xdr:pic>
      <xdr:nvPicPr>
        <xdr:cNvPr id="0" name="image21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</xdr:row>
      <xdr:rowOff>28575</xdr:rowOff>
    </xdr:from>
    <xdr:ext cx="552450" cy="409575"/>
    <xdr:pic>
      <xdr:nvPicPr>
        <xdr:cNvPr id="0" name="image10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22</xdr:row>
      <xdr:rowOff>28575</xdr:rowOff>
    </xdr:from>
    <xdr:ext cx="476250" cy="438150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24</xdr:row>
      <xdr:rowOff>161925</xdr:rowOff>
    </xdr:from>
    <xdr:ext cx="476250" cy="457200"/>
    <xdr:pic>
      <xdr:nvPicPr>
        <xdr:cNvPr id="0" name="image8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31</xdr:row>
      <xdr:rowOff>19050</xdr:rowOff>
    </xdr:from>
    <xdr:ext cx="533400" cy="381000"/>
    <xdr:pic>
      <xdr:nvPicPr>
        <xdr:cNvPr id="0" name="image10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34</xdr:row>
      <xdr:rowOff>19050</xdr:rowOff>
    </xdr:from>
    <xdr:ext cx="476250" cy="438150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37</xdr:row>
      <xdr:rowOff>38100</xdr:rowOff>
    </xdr:from>
    <xdr:ext cx="476250" cy="40957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40</xdr:row>
      <xdr:rowOff>57150</xdr:rowOff>
    </xdr:from>
    <xdr:ext cx="533400" cy="381000"/>
    <xdr:pic>
      <xdr:nvPicPr>
        <xdr:cNvPr id="0" name="image2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59</xdr:row>
      <xdr:rowOff>57150</xdr:rowOff>
    </xdr:from>
    <xdr:ext cx="428625" cy="381000"/>
    <xdr:pic>
      <xdr:nvPicPr>
        <xdr:cNvPr id="0" name="image5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62</xdr:row>
      <xdr:rowOff>28575</xdr:rowOff>
    </xdr:from>
    <xdr:ext cx="533400" cy="3810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65</xdr:row>
      <xdr:rowOff>19050</xdr:rowOff>
    </xdr:from>
    <xdr:ext cx="476250" cy="457200"/>
    <xdr:pic>
      <xdr:nvPicPr>
        <xdr:cNvPr id="0" name="image24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68</xdr:row>
      <xdr:rowOff>28575</xdr:rowOff>
    </xdr:from>
    <xdr:ext cx="533400" cy="381000"/>
    <xdr:pic>
      <xdr:nvPicPr>
        <xdr:cNvPr id="0" name="image3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74</xdr:row>
      <xdr:rowOff>66675</xdr:rowOff>
    </xdr:from>
    <xdr:ext cx="533400" cy="3810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77</xdr:row>
      <xdr:rowOff>28575</xdr:rowOff>
    </xdr:from>
    <xdr:ext cx="428625" cy="381000"/>
    <xdr:pic>
      <xdr:nvPicPr>
        <xdr:cNvPr id="0" name="image5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80</xdr:row>
      <xdr:rowOff>19050</xdr:rowOff>
    </xdr:from>
    <xdr:ext cx="428625" cy="381000"/>
    <xdr:pic>
      <xdr:nvPicPr>
        <xdr:cNvPr id="0" name="image5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71</xdr:row>
      <xdr:rowOff>57150</xdr:rowOff>
    </xdr:from>
    <xdr:ext cx="381000" cy="381000"/>
    <xdr:pic>
      <xdr:nvPicPr>
        <xdr:cNvPr id="0" name="image20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49</xdr:row>
      <xdr:rowOff>47625</xdr:rowOff>
    </xdr:from>
    <xdr:ext cx="381000" cy="381000"/>
    <xdr:pic>
      <xdr:nvPicPr>
        <xdr:cNvPr id="0" name="image20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52</xdr:row>
      <xdr:rowOff>28575</xdr:rowOff>
    </xdr:from>
    <xdr:ext cx="533400" cy="381000"/>
    <xdr:pic>
      <xdr:nvPicPr>
        <xdr:cNvPr id="0" name="image4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86</xdr:row>
      <xdr:rowOff>47625</xdr:rowOff>
    </xdr:from>
    <xdr:ext cx="533400" cy="381000"/>
    <xdr:pic>
      <xdr:nvPicPr>
        <xdr:cNvPr id="0" name="image3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89</xdr:row>
      <xdr:rowOff>57150</xdr:rowOff>
    </xdr:from>
    <xdr:ext cx="428625" cy="381000"/>
    <xdr:pic>
      <xdr:nvPicPr>
        <xdr:cNvPr id="0" name="image5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533400" cy="3810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10</xdr:row>
      <xdr:rowOff>57150</xdr:rowOff>
    </xdr:from>
    <xdr:ext cx="533400" cy="3810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74</xdr:row>
      <xdr:rowOff>47625</xdr:rowOff>
    </xdr:from>
    <xdr:ext cx="533400" cy="3810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</xdr:row>
      <xdr:rowOff>57150</xdr:rowOff>
    </xdr:from>
    <xdr:ext cx="533400" cy="381000"/>
    <xdr:pic>
      <xdr:nvPicPr>
        <xdr:cNvPr id="0" name="image17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34</xdr:row>
      <xdr:rowOff>66675</xdr:rowOff>
    </xdr:from>
    <xdr:ext cx="533400" cy="381000"/>
    <xdr:pic>
      <xdr:nvPicPr>
        <xdr:cNvPr id="0" name="image17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40</xdr:row>
      <xdr:rowOff>57150</xdr:rowOff>
    </xdr:from>
    <xdr:ext cx="533400" cy="381000"/>
    <xdr:pic>
      <xdr:nvPicPr>
        <xdr:cNvPr id="0" name="image17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15</xdr:row>
      <xdr:rowOff>152400</xdr:rowOff>
    </xdr:from>
    <xdr:ext cx="533400" cy="504825"/>
    <xdr:pic>
      <xdr:nvPicPr>
        <xdr:cNvPr id="0" name="image1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45</xdr:row>
      <xdr:rowOff>152400</xdr:rowOff>
    </xdr:from>
    <xdr:ext cx="533400" cy="504825"/>
    <xdr:pic>
      <xdr:nvPicPr>
        <xdr:cNvPr id="0" name="image1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19</xdr:row>
      <xdr:rowOff>38100</xdr:rowOff>
    </xdr:from>
    <xdr:ext cx="533400" cy="381000"/>
    <xdr:pic>
      <xdr:nvPicPr>
        <xdr:cNvPr id="0" name="image1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71</xdr:row>
      <xdr:rowOff>38100</xdr:rowOff>
    </xdr:from>
    <xdr:ext cx="533400" cy="381000"/>
    <xdr:pic>
      <xdr:nvPicPr>
        <xdr:cNvPr id="0" name="image1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22</xdr:row>
      <xdr:rowOff>28575</xdr:rowOff>
    </xdr:from>
    <xdr:ext cx="533400" cy="38100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65</xdr:row>
      <xdr:rowOff>38100</xdr:rowOff>
    </xdr:from>
    <xdr:ext cx="533400" cy="38100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25</xdr:row>
      <xdr:rowOff>28575</xdr:rowOff>
    </xdr:from>
    <xdr:ext cx="533400" cy="381000"/>
    <xdr:pic>
      <xdr:nvPicPr>
        <xdr:cNvPr id="0" name="image26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31</xdr:row>
      <xdr:rowOff>57150</xdr:rowOff>
    </xdr:from>
    <xdr:ext cx="381000" cy="381000"/>
    <xdr:pic>
      <xdr:nvPicPr>
        <xdr:cNvPr id="0" name="image20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37</xdr:row>
      <xdr:rowOff>9525</xdr:rowOff>
    </xdr:from>
    <xdr:ext cx="476250" cy="476250"/>
    <xdr:pic>
      <xdr:nvPicPr>
        <xdr:cNvPr id="0" name="image2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43</xdr:row>
      <xdr:rowOff>19050</xdr:rowOff>
    </xdr:from>
    <xdr:ext cx="476250" cy="457200"/>
    <xdr:pic>
      <xdr:nvPicPr>
        <xdr:cNvPr id="0" name="image8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62</xdr:row>
      <xdr:rowOff>9525</xdr:rowOff>
    </xdr:from>
    <xdr:ext cx="476250" cy="457200"/>
    <xdr:pic>
      <xdr:nvPicPr>
        <xdr:cNvPr id="0" name="image8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80</xdr:row>
      <xdr:rowOff>66675</xdr:rowOff>
    </xdr:from>
    <xdr:ext cx="533400" cy="381000"/>
    <xdr:pic>
      <xdr:nvPicPr>
        <xdr:cNvPr id="0" name="image2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77</xdr:row>
      <xdr:rowOff>28575</xdr:rowOff>
    </xdr:from>
    <xdr:ext cx="533400" cy="381000"/>
    <xdr:pic>
      <xdr:nvPicPr>
        <xdr:cNvPr id="0" name="image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67</xdr:row>
      <xdr:rowOff>152400</xdr:rowOff>
    </xdr:from>
    <xdr:ext cx="533400" cy="438150"/>
    <xdr:pic>
      <xdr:nvPicPr>
        <xdr:cNvPr id="0" name="image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27</xdr:row>
      <xdr:rowOff>152400</xdr:rowOff>
    </xdr:from>
    <xdr:ext cx="533400" cy="504825"/>
    <xdr:pic>
      <xdr:nvPicPr>
        <xdr:cNvPr id="0" name="image1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52</xdr:row>
      <xdr:rowOff>47625</xdr:rowOff>
    </xdr:from>
    <xdr:ext cx="533400" cy="381000"/>
    <xdr:pic>
      <xdr:nvPicPr>
        <xdr:cNvPr id="0" name="image3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55</xdr:row>
      <xdr:rowOff>9525</xdr:rowOff>
    </xdr:from>
    <xdr:ext cx="476250" cy="476250"/>
    <xdr:pic>
      <xdr:nvPicPr>
        <xdr:cNvPr id="0" name="image3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58</xdr:row>
      <xdr:rowOff>57150</xdr:rowOff>
    </xdr:from>
    <xdr:ext cx="381000" cy="381000"/>
    <xdr:pic>
      <xdr:nvPicPr>
        <xdr:cNvPr id="0" name="image67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86</xdr:row>
      <xdr:rowOff>47625</xdr:rowOff>
    </xdr:from>
    <xdr:ext cx="533400" cy="381000"/>
    <xdr:pic>
      <xdr:nvPicPr>
        <xdr:cNvPr id="0" name="image1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13</xdr:row>
      <xdr:rowOff>38100</xdr:rowOff>
    </xdr:from>
    <xdr:ext cx="533400" cy="381000"/>
    <xdr:pic>
      <xdr:nvPicPr>
        <xdr:cNvPr id="0" name="image1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25</xdr:row>
      <xdr:rowOff>57150</xdr:rowOff>
    </xdr:from>
    <xdr:ext cx="533400" cy="3810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68</xdr:row>
      <xdr:rowOff>38100</xdr:rowOff>
    </xdr:from>
    <xdr:ext cx="533400" cy="3810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71</xdr:row>
      <xdr:rowOff>38100</xdr:rowOff>
    </xdr:from>
    <xdr:ext cx="533400" cy="38100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10</xdr:row>
      <xdr:rowOff>28575</xdr:rowOff>
    </xdr:from>
    <xdr:ext cx="533400" cy="381000"/>
    <xdr:pic>
      <xdr:nvPicPr>
        <xdr:cNvPr id="0" name="image4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16</xdr:row>
      <xdr:rowOff>57150</xdr:rowOff>
    </xdr:from>
    <xdr:ext cx="533400" cy="381000"/>
    <xdr:pic>
      <xdr:nvPicPr>
        <xdr:cNvPr id="0" name="image1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19</xdr:row>
      <xdr:rowOff>38100</xdr:rowOff>
    </xdr:from>
    <xdr:ext cx="533400" cy="381000"/>
    <xdr:pic>
      <xdr:nvPicPr>
        <xdr:cNvPr id="0" name="image1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28</xdr:row>
      <xdr:rowOff>57150</xdr:rowOff>
    </xdr:from>
    <xdr:ext cx="533400" cy="3810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31</xdr:row>
      <xdr:rowOff>28575</xdr:rowOff>
    </xdr:from>
    <xdr:ext cx="533400" cy="38100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34</xdr:row>
      <xdr:rowOff>47625</xdr:rowOff>
    </xdr:from>
    <xdr:ext cx="533400" cy="38100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37</xdr:row>
      <xdr:rowOff>38100</xdr:rowOff>
    </xdr:from>
    <xdr:ext cx="533400" cy="381000"/>
    <xdr:pic>
      <xdr:nvPicPr>
        <xdr:cNvPr id="0" name="image4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61</xdr:row>
      <xdr:rowOff>161925</xdr:rowOff>
    </xdr:from>
    <xdr:ext cx="533400" cy="381000"/>
    <xdr:pic>
      <xdr:nvPicPr>
        <xdr:cNvPr id="0" name="image1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56</xdr:row>
      <xdr:rowOff>57150</xdr:rowOff>
    </xdr:from>
    <xdr:ext cx="533400" cy="381000"/>
    <xdr:pic>
      <xdr:nvPicPr>
        <xdr:cNvPr id="0" name="image23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59</xdr:row>
      <xdr:rowOff>28575</xdr:rowOff>
    </xdr:from>
    <xdr:ext cx="533400" cy="381000"/>
    <xdr:pic>
      <xdr:nvPicPr>
        <xdr:cNvPr id="0" name="image23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73</xdr:row>
      <xdr:rowOff>152400</xdr:rowOff>
    </xdr:from>
    <xdr:ext cx="533400" cy="504825"/>
    <xdr:pic>
      <xdr:nvPicPr>
        <xdr:cNvPr id="0" name="image6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77</xdr:row>
      <xdr:rowOff>38100</xdr:rowOff>
    </xdr:from>
    <xdr:ext cx="533400" cy="381000"/>
    <xdr:pic>
      <xdr:nvPicPr>
        <xdr:cNvPr id="0" name="image1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80</xdr:row>
      <xdr:rowOff>19050</xdr:rowOff>
    </xdr:from>
    <xdr:ext cx="533400" cy="381000"/>
    <xdr:pic>
      <xdr:nvPicPr>
        <xdr:cNvPr id="0" name="image1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83</xdr:row>
      <xdr:rowOff>47625</xdr:rowOff>
    </xdr:from>
    <xdr:ext cx="533400" cy="381000"/>
    <xdr:pic>
      <xdr:nvPicPr>
        <xdr:cNvPr id="0" name="image1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85</xdr:row>
      <xdr:rowOff>161925</xdr:rowOff>
    </xdr:from>
    <xdr:ext cx="533400" cy="381000"/>
    <xdr:pic>
      <xdr:nvPicPr>
        <xdr:cNvPr id="0" name="image1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64</xdr:row>
      <xdr:rowOff>161925</xdr:rowOff>
    </xdr:from>
    <xdr:ext cx="419100" cy="381000"/>
    <xdr:pic>
      <xdr:nvPicPr>
        <xdr:cNvPr id="0" name="image49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53</xdr:row>
      <xdr:rowOff>76200</xdr:rowOff>
    </xdr:from>
    <xdr:ext cx="533400" cy="381000"/>
    <xdr:pic>
      <xdr:nvPicPr>
        <xdr:cNvPr id="0" name="image34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45</xdr:row>
      <xdr:rowOff>161925</xdr:rowOff>
    </xdr:from>
    <xdr:ext cx="476250" cy="476250"/>
    <xdr:pic>
      <xdr:nvPicPr>
        <xdr:cNvPr id="0" name="image3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43</xdr:row>
      <xdr:rowOff>28575</xdr:rowOff>
    </xdr:from>
    <xdr:ext cx="533400" cy="381000"/>
    <xdr:pic>
      <xdr:nvPicPr>
        <xdr:cNvPr id="0" name="image37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48</xdr:row>
      <xdr:rowOff>152400</xdr:rowOff>
    </xdr:from>
    <xdr:ext cx="533400" cy="504825"/>
    <xdr:pic>
      <xdr:nvPicPr>
        <xdr:cNvPr id="0" name="image5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21</xdr:row>
      <xdr:rowOff>161925</xdr:rowOff>
    </xdr:from>
    <xdr:ext cx="476250" cy="476250"/>
    <xdr:pic>
      <xdr:nvPicPr>
        <xdr:cNvPr id="0" name="image4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92</xdr:row>
      <xdr:rowOff>38100</xdr:rowOff>
    </xdr:from>
    <xdr:ext cx="533400" cy="3810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533400" cy="381000"/>
    <xdr:pic>
      <xdr:nvPicPr>
        <xdr:cNvPr id="0" name="image1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111</xdr:row>
      <xdr:rowOff>9525</xdr:rowOff>
    </xdr:from>
    <xdr:ext cx="533400" cy="38100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105</xdr:row>
      <xdr:rowOff>9525</xdr:rowOff>
    </xdr:from>
    <xdr:ext cx="419100" cy="438150"/>
    <xdr:pic>
      <xdr:nvPicPr>
        <xdr:cNvPr id="0" name="image29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107</xdr:row>
      <xdr:rowOff>161925</xdr:rowOff>
    </xdr:from>
    <xdr:ext cx="476250" cy="476250"/>
    <xdr:pic>
      <xdr:nvPicPr>
        <xdr:cNvPr id="0" name="image6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42</xdr:row>
      <xdr:rowOff>152400</xdr:rowOff>
    </xdr:from>
    <xdr:ext cx="476250" cy="457200"/>
    <xdr:pic>
      <xdr:nvPicPr>
        <xdr:cNvPr id="0" name="image4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10</xdr:row>
      <xdr:rowOff>57150</xdr:rowOff>
    </xdr:from>
    <xdr:ext cx="533400" cy="3810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68</xdr:row>
      <xdr:rowOff>38100</xdr:rowOff>
    </xdr:from>
    <xdr:ext cx="533400" cy="3810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12</xdr:row>
      <xdr:rowOff>152400</xdr:rowOff>
    </xdr:from>
    <xdr:ext cx="533400" cy="381000"/>
    <xdr:pic>
      <xdr:nvPicPr>
        <xdr:cNvPr id="0" name="image14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22</xdr:row>
      <xdr:rowOff>38100</xdr:rowOff>
    </xdr:from>
    <xdr:ext cx="533400" cy="381000"/>
    <xdr:pic>
      <xdr:nvPicPr>
        <xdr:cNvPr id="0" name="image14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71</xdr:row>
      <xdr:rowOff>38100</xdr:rowOff>
    </xdr:from>
    <xdr:ext cx="533400" cy="381000"/>
    <xdr:pic>
      <xdr:nvPicPr>
        <xdr:cNvPr id="0" name="image14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16</xdr:row>
      <xdr:rowOff>38100</xdr:rowOff>
    </xdr:from>
    <xdr:ext cx="533400" cy="38100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37</xdr:row>
      <xdr:rowOff>38100</xdr:rowOff>
    </xdr:from>
    <xdr:ext cx="533400" cy="38100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74</xdr:row>
      <xdr:rowOff>38100</xdr:rowOff>
    </xdr:from>
    <xdr:ext cx="533400" cy="38100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19</xdr:row>
      <xdr:rowOff>38100</xdr:rowOff>
    </xdr:from>
    <xdr:ext cx="533400" cy="381000"/>
    <xdr:pic>
      <xdr:nvPicPr>
        <xdr:cNvPr id="0" name="image39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25</xdr:row>
      <xdr:rowOff>38100</xdr:rowOff>
    </xdr:from>
    <xdr:ext cx="381000" cy="381000"/>
    <xdr:pic>
      <xdr:nvPicPr>
        <xdr:cNvPr id="0" name="image67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49</xdr:row>
      <xdr:rowOff>38100</xdr:rowOff>
    </xdr:from>
    <xdr:ext cx="381000" cy="381000"/>
    <xdr:pic>
      <xdr:nvPicPr>
        <xdr:cNvPr id="0" name="image67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28</xdr:row>
      <xdr:rowOff>38100</xdr:rowOff>
    </xdr:from>
    <xdr:ext cx="533400" cy="381000"/>
    <xdr:pic>
      <xdr:nvPicPr>
        <xdr:cNvPr id="0" name="image1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62</xdr:row>
      <xdr:rowOff>38100</xdr:rowOff>
    </xdr:from>
    <xdr:ext cx="533400" cy="381000"/>
    <xdr:pic>
      <xdr:nvPicPr>
        <xdr:cNvPr id="0" name="image1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77</xdr:row>
      <xdr:rowOff>38100</xdr:rowOff>
    </xdr:from>
    <xdr:ext cx="533400" cy="381000"/>
    <xdr:pic>
      <xdr:nvPicPr>
        <xdr:cNvPr id="0" name="image1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40</xdr:row>
      <xdr:rowOff>38100</xdr:rowOff>
    </xdr:from>
    <xdr:ext cx="533400" cy="381000"/>
    <xdr:pic>
      <xdr:nvPicPr>
        <xdr:cNvPr id="0" name="image1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59</xdr:row>
      <xdr:rowOff>47625</xdr:rowOff>
    </xdr:from>
    <xdr:ext cx="533400" cy="381000"/>
    <xdr:pic>
      <xdr:nvPicPr>
        <xdr:cNvPr id="0" name="image1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65</xdr:row>
      <xdr:rowOff>47625</xdr:rowOff>
    </xdr:from>
    <xdr:ext cx="533400" cy="381000"/>
    <xdr:pic>
      <xdr:nvPicPr>
        <xdr:cNvPr id="0" name="image1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52</xdr:row>
      <xdr:rowOff>47625</xdr:rowOff>
    </xdr:from>
    <xdr:ext cx="533400" cy="381000"/>
    <xdr:pic>
      <xdr:nvPicPr>
        <xdr:cNvPr id="0" name="image4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30</xdr:row>
      <xdr:rowOff>152400</xdr:rowOff>
    </xdr:from>
    <xdr:ext cx="533400" cy="504825"/>
    <xdr:pic>
      <xdr:nvPicPr>
        <xdr:cNvPr id="0" name="image45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33</xdr:row>
      <xdr:rowOff>152400</xdr:rowOff>
    </xdr:from>
    <xdr:ext cx="533400" cy="504825"/>
    <xdr:pic>
      <xdr:nvPicPr>
        <xdr:cNvPr id="0" name="image45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54</xdr:row>
      <xdr:rowOff>161925</xdr:rowOff>
    </xdr:from>
    <xdr:ext cx="476250" cy="476250"/>
    <xdr:pic>
      <xdr:nvPicPr>
        <xdr:cNvPr id="0" name="image3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80</xdr:row>
      <xdr:rowOff>38100</xdr:rowOff>
    </xdr:from>
    <xdr:ext cx="533400" cy="381000"/>
    <xdr:pic>
      <xdr:nvPicPr>
        <xdr:cNvPr id="0" name="image14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99</xdr:row>
      <xdr:rowOff>19050</xdr:rowOff>
    </xdr:from>
    <xdr:ext cx="476250" cy="457200"/>
    <xdr:pic>
      <xdr:nvPicPr>
        <xdr:cNvPr id="0" name="image55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102</xdr:row>
      <xdr:rowOff>9525</xdr:rowOff>
    </xdr:from>
    <xdr:ext cx="476250" cy="476250"/>
    <xdr:pic>
      <xdr:nvPicPr>
        <xdr:cNvPr id="0" name="image77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105</xdr:row>
      <xdr:rowOff>19050</xdr:rowOff>
    </xdr:from>
    <xdr:ext cx="476250" cy="457200"/>
    <xdr:pic>
      <xdr:nvPicPr>
        <xdr:cNvPr id="0" name="image82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10</xdr:row>
      <xdr:rowOff>38100</xdr:rowOff>
    </xdr:from>
    <xdr:ext cx="533400" cy="3810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12</xdr:row>
      <xdr:rowOff>161925</xdr:rowOff>
    </xdr:from>
    <xdr:ext cx="533400" cy="381000"/>
    <xdr:pic>
      <xdr:nvPicPr>
        <xdr:cNvPr id="0" name="image69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65</xdr:row>
      <xdr:rowOff>57150</xdr:rowOff>
    </xdr:from>
    <xdr:ext cx="533400" cy="3810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</xdr:row>
      <xdr:rowOff>38100</xdr:rowOff>
    </xdr:from>
    <xdr:ext cx="533400" cy="381000"/>
    <xdr:pic>
      <xdr:nvPicPr>
        <xdr:cNvPr id="0" name="image5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19</xdr:row>
      <xdr:rowOff>38100</xdr:rowOff>
    </xdr:from>
    <xdr:ext cx="533400" cy="381000"/>
    <xdr:pic>
      <xdr:nvPicPr>
        <xdr:cNvPr id="0" name="image5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21</xdr:row>
      <xdr:rowOff>161925</xdr:rowOff>
    </xdr:from>
    <xdr:ext cx="533400" cy="381000"/>
    <xdr:pic>
      <xdr:nvPicPr>
        <xdr:cNvPr id="0" name="image5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25</xdr:row>
      <xdr:rowOff>38100</xdr:rowOff>
    </xdr:from>
    <xdr:ext cx="533400" cy="381000"/>
    <xdr:pic>
      <xdr:nvPicPr>
        <xdr:cNvPr id="0" name="image7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59</xdr:row>
      <xdr:rowOff>38100</xdr:rowOff>
    </xdr:from>
    <xdr:ext cx="533400" cy="381000"/>
    <xdr:pic>
      <xdr:nvPicPr>
        <xdr:cNvPr id="0" name="image62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28</xdr:row>
      <xdr:rowOff>38100</xdr:rowOff>
    </xdr:from>
    <xdr:ext cx="533400" cy="381000"/>
    <xdr:pic>
      <xdr:nvPicPr>
        <xdr:cNvPr id="0" name="image5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31</xdr:row>
      <xdr:rowOff>38100</xdr:rowOff>
    </xdr:from>
    <xdr:ext cx="533400" cy="381000"/>
    <xdr:pic>
      <xdr:nvPicPr>
        <xdr:cNvPr id="0" name="image5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52</xdr:row>
      <xdr:rowOff>161925</xdr:rowOff>
    </xdr:from>
    <xdr:ext cx="533400" cy="381000"/>
    <xdr:pic>
      <xdr:nvPicPr>
        <xdr:cNvPr id="0" name="image4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56</xdr:row>
      <xdr:rowOff>38100</xdr:rowOff>
    </xdr:from>
    <xdr:ext cx="533400" cy="381000"/>
    <xdr:pic>
      <xdr:nvPicPr>
        <xdr:cNvPr id="0" name="image69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56</xdr:row>
      <xdr:rowOff>38100</xdr:rowOff>
    </xdr:from>
    <xdr:ext cx="533400" cy="381000"/>
    <xdr:pic>
      <xdr:nvPicPr>
        <xdr:cNvPr id="0" name="image7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68</xdr:row>
      <xdr:rowOff>47625</xdr:rowOff>
    </xdr:from>
    <xdr:ext cx="533400" cy="381000"/>
    <xdr:pic>
      <xdr:nvPicPr>
        <xdr:cNvPr id="0" name="image62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37</xdr:row>
      <xdr:rowOff>47625</xdr:rowOff>
    </xdr:from>
    <xdr:ext cx="533400" cy="381000"/>
    <xdr:pic>
      <xdr:nvPicPr>
        <xdr:cNvPr id="0" name="image3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40</xdr:row>
      <xdr:rowOff>47625</xdr:rowOff>
    </xdr:from>
    <xdr:ext cx="533400" cy="390525"/>
    <xdr:pic>
      <xdr:nvPicPr>
        <xdr:cNvPr id="0" name="image72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43</xdr:row>
      <xdr:rowOff>28575</xdr:rowOff>
    </xdr:from>
    <xdr:ext cx="381000" cy="381000"/>
    <xdr:pic>
      <xdr:nvPicPr>
        <xdr:cNvPr id="0" name="image47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47</xdr:row>
      <xdr:rowOff>9525</xdr:rowOff>
    </xdr:from>
    <xdr:ext cx="476250" cy="457200"/>
    <xdr:pic>
      <xdr:nvPicPr>
        <xdr:cNvPr id="0" name="image54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50</xdr:row>
      <xdr:rowOff>19050</xdr:rowOff>
    </xdr:from>
    <xdr:ext cx="476250" cy="457200"/>
    <xdr:pic>
      <xdr:nvPicPr>
        <xdr:cNvPr id="0" name="image57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62</xdr:row>
      <xdr:rowOff>47625</xdr:rowOff>
    </xdr:from>
    <xdr:ext cx="533400" cy="381000"/>
    <xdr:pic>
      <xdr:nvPicPr>
        <xdr:cNvPr id="0" name="image69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74</xdr:row>
      <xdr:rowOff>38100</xdr:rowOff>
    </xdr:from>
    <xdr:ext cx="552450" cy="400050"/>
    <xdr:pic>
      <xdr:nvPicPr>
        <xdr:cNvPr id="0" name="image4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87</xdr:row>
      <xdr:rowOff>9525</xdr:rowOff>
    </xdr:from>
    <xdr:ext cx="533400" cy="381000"/>
    <xdr:pic>
      <xdr:nvPicPr>
        <xdr:cNvPr id="0" name="image5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90</xdr:row>
      <xdr:rowOff>9525</xdr:rowOff>
    </xdr:from>
    <xdr:ext cx="533400" cy="428625"/>
    <xdr:pic>
      <xdr:nvPicPr>
        <xdr:cNvPr id="0" name="image4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92</xdr:row>
      <xdr:rowOff>152400</xdr:rowOff>
    </xdr:from>
    <xdr:ext cx="476250" cy="504825"/>
    <xdr:pic>
      <xdr:nvPicPr>
        <xdr:cNvPr id="0" name="image66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11</xdr:row>
      <xdr:rowOff>152400</xdr:rowOff>
    </xdr:from>
    <xdr:ext cx="533400" cy="3810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14</xdr:row>
      <xdr:rowOff>152400</xdr:rowOff>
    </xdr:from>
    <xdr:ext cx="533400" cy="3810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17</xdr:row>
      <xdr:rowOff>152400</xdr:rowOff>
    </xdr:from>
    <xdr:ext cx="533400" cy="381000"/>
    <xdr:pic>
      <xdr:nvPicPr>
        <xdr:cNvPr id="0" name="image37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20</xdr:row>
      <xdr:rowOff>152400</xdr:rowOff>
    </xdr:from>
    <xdr:ext cx="533400" cy="381000"/>
    <xdr:pic>
      <xdr:nvPicPr>
        <xdr:cNvPr id="0" name="image3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</xdr:row>
      <xdr:rowOff>152400</xdr:rowOff>
    </xdr:from>
    <xdr:ext cx="533400" cy="381000"/>
    <xdr:pic>
      <xdr:nvPicPr>
        <xdr:cNvPr id="0" name="image6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27</xdr:row>
      <xdr:rowOff>152400</xdr:rowOff>
    </xdr:from>
    <xdr:ext cx="533400" cy="3810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30</xdr:row>
      <xdr:rowOff>152400</xdr:rowOff>
    </xdr:from>
    <xdr:ext cx="533400" cy="381000"/>
    <xdr:pic>
      <xdr:nvPicPr>
        <xdr:cNvPr id="0" name="image69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33</xdr:row>
      <xdr:rowOff>152400</xdr:rowOff>
    </xdr:from>
    <xdr:ext cx="533400" cy="381000"/>
    <xdr:pic>
      <xdr:nvPicPr>
        <xdr:cNvPr id="0" name="image3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36</xdr:row>
      <xdr:rowOff>152400</xdr:rowOff>
    </xdr:from>
    <xdr:ext cx="533400" cy="381000"/>
    <xdr:pic>
      <xdr:nvPicPr>
        <xdr:cNvPr id="0" name="image5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39</xdr:row>
      <xdr:rowOff>152400</xdr:rowOff>
    </xdr:from>
    <xdr:ext cx="533400" cy="381000"/>
    <xdr:pic>
      <xdr:nvPicPr>
        <xdr:cNvPr id="0" name="image5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42</xdr:row>
      <xdr:rowOff>152400</xdr:rowOff>
    </xdr:from>
    <xdr:ext cx="533400" cy="381000"/>
    <xdr:pic>
      <xdr:nvPicPr>
        <xdr:cNvPr id="0" name="image8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45</xdr:row>
      <xdr:rowOff>152400</xdr:rowOff>
    </xdr:from>
    <xdr:ext cx="533400" cy="381000"/>
    <xdr:pic>
      <xdr:nvPicPr>
        <xdr:cNvPr id="0" name="image52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48</xdr:row>
      <xdr:rowOff>152400</xdr:rowOff>
    </xdr:from>
    <xdr:ext cx="533400" cy="3810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54</xdr:row>
      <xdr:rowOff>152400</xdr:rowOff>
    </xdr:from>
    <xdr:ext cx="533400" cy="381000"/>
    <xdr:pic>
      <xdr:nvPicPr>
        <xdr:cNvPr id="0" name="image4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57</xdr:row>
      <xdr:rowOff>152400</xdr:rowOff>
    </xdr:from>
    <xdr:ext cx="533400" cy="381000"/>
    <xdr:pic>
      <xdr:nvPicPr>
        <xdr:cNvPr id="0" name="image71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60</xdr:row>
      <xdr:rowOff>152400</xdr:rowOff>
    </xdr:from>
    <xdr:ext cx="533400" cy="381000"/>
    <xdr:pic>
      <xdr:nvPicPr>
        <xdr:cNvPr id="0" name="image7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64</xdr:row>
      <xdr:rowOff>152400</xdr:rowOff>
    </xdr:from>
    <xdr:ext cx="533400" cy="381000"/>
    <xdr:pic>
      <xdr:nvPicPr>
        <xdr:cNvPr id="0" name="image60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70</xdr:row>
      <xdr:rowOff>161925</xdr:rowOff>
    </xdr:from>
    <xdr:ext cx="533400" cy="381000"/>
    <xdr:pic>
      <xdr:nvPicPr>
        <xdr:cNvPr id="0" name="image68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74</xdr:row>
      <xdr:rowOff>9525</xdr:rowOff>
    </xdr:from>
    <xdr:ext cx="533400" cy="381000"/>
    <xdr:pic>
      <xdr:nvPicPr>
        <xdr:cNvPr id="0" name="image76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76</xdr:row>
      <xdr:rowOff>152400</xdr:rowOff>
    </xdr:from>
    <xdr:ext cx="533400" cy="381000"/>
    <xdr:pic>
      <xdr:nvPicPr>
        <xdr:cNvPr id="0" name="image79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79</xdr:row>
      <xdr:rowOff>152400</xdr:rowOff>
    </xdr:from>
    <xdr:ext cx="533400" cy="381000"/>
    <xdr:pic>
      <xdr:nvPicPr>
        <xdr:cNvPr id="0" name="image6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82</xdr:row>
      <xdr:rowOff>152400</xdr:rowOff>
    </xdr:from>
    <xdr:ext cx="533400" cy="381000"/>
    <xdr:pic>
      <xdr:nvPicPr>
        <xdr:cNvPr id="0" name="image62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85</xdr:row>
      <xdr:rowOff>161925</xdr:rowOff>
    </xdr:from>
    <xdr:ext cx="533400" cy="381000"/>
    <xdr:pic>
      <xdr:nvPicPr>
        <xdr:cNvPr id="0" name="image4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91</xdr:row>
      <xdr:rowOff>161925</xdr:rowOff>
    </xdr:from>
    <xdr:ext cx="533400" cy="381000"/>
    <xdr:pic>
      <xdr:nvPicPr>
        <xdr:cNvPr id="0" name="image79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94</xdr:row>
      <xdr:rowOff>152400</xdr:rowOff>
    </xdr:from>
    <xdr:ext cx="533400" cy="381000"/>
    <xdr:pic>
      <xdr:nvPicPr>
        <xdr:cNvPr id="0" name="image6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108</xdr:row>
      <xdr:rowOff>161925</xdr:rowOff>
    </xdr:from>
    <xdr:ext cx="533400" cy="381000"/>
    <xdr:pic>
      <xdr:nvPicPr>
        <xdr:cNvPr id="0" name="image7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105</xdr:row>
      <xdr:rowOff>152400</xdr:rowOff>
    </xdr:from>
    <xdr:ext cx="533400" cy="428625"/>
    <xdr:pic>
      <xdr:nvPicPr>
        <xdr:cNvPr id="0" name="image7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111</xdr:row>
      <xdr:rowOff>161925</xdr:rowOff>
    </xdr:from>
    <xdr:ext cx="533400" cy="381000"/>
    <xdr:pic>
      <xdr:nvPicPr>
        <xdr:cNvPr id="0" name="image65.jp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67</xdr:row>
      <xdr:rowOff>152400</xdr:rowOff>
    </xdr:from>
    <xdr:ext cx="533400" cy="381000"/>
    <xdr:pic>
      <xdr:nvPicPr>
        <xdr:cNvPr id="0" name="image81.jp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98</xdr:row>
      <xdr:rowOff>152400</xdr:rowOff>
    </xdr:from>
    <xdr:ext cx="533400" cy="3810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MPvMLtYs0eg" TargetMode="External"/><Relationship Id="rId10" Type="http://schemas.openxmlformats.org/officeDocument/2006/relationships/hyperlink" Target="https://youtu.be/PX40FVYPAyk" TargetMode="External"/><Relationship Id="rId13" Type="http://schemas.openxmlformats.org/officeDocument/2006/relationships/hyperlink" Target="https://youtu.be/YD8obHC1Rvc" TargetMode="External"/><Relationship Id="rId12" Type="http://schemas.openxmlformats.org/officeDocument/2006/relationships/hyperlink" Target="https://youtu.be/AADov7VABTg" TargetMode="External"/><Relationship Id="rId1" Type="http://schemas.openxmlformats.org/officeDocument/2006/relationships/hyperlink" Target="https://youtu.be/SEP5hT3DnFQ" TargetMode="External"/><Relationship Id="rId2" Type="http://schemas.openxmlformats.org/officeDocument/2006/relationships/hyperlink" Target="https://youtu.be/WcvVO5kY5bk" TargetMode="External"/><Relationship Id="rId3" Type="http://schemas.openxmlformats.org/officeDocument/2006/relationships/hyperlink" Target="https://youtu.be/CbPbzLT85D8" TargetMode="External"/><Relationship Id="rId4" Type="http://schemas.openxmlformats.org/officeDocument/2006/relationships/hyperlink" Target="https://youtu.be/MhzUFG127Xc" TargetMode="External"/><Relationship Id="rId9" Type="http://schemas.openxmlformats.org/officeDocument/2006/relationships/hyperlink" Target="https://youtu.be/58-HW69GrV4" TargetMode="External"/><Relationship Id="rId15" Type="http://schemas.openxmlformats.org/officeDocument/2006/relationships/hyperlink" Target="https://www.youtube.com/live/tRIHWysh2zw?si=549psb-zmBKwf8N8" TargetMode="External"/><Relationship Id="rId14" Type="http://schemas.openxmlformats.org/officeDocument/2006/relationships/hyperlink" Target="https://www.youtube.com/live/_JbjziUVlrw?si=lyVYLu7YIB531Oi9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youtube.com/live/Z3SM0ydETk0?si=ssSuIUD19mP8LfPT" TargetMode="External"/><Relationship Id="rId5" Type="http://schemas.openxmlformats.org/officeDocument/2006/relationships/hyperlink" Target="https://youtu.be/At5BRWyahaY" TargetMode="External"/><Relationship Id="rId6" Type="http://schemas.openxmlformats.org/officeDocument/2006/relationships/hyperlink" Target="https://youtu.be/AhY0SLUxbNA" TargetMode="External"/><Relationship Id="rId7" Type="http://schemas.openxmlformats.org/officeDocument/2006/relationships/hyperlink" Target="https://youtu.be/M8AYxxUrcOU" TargetMode="External"/><Relationship Id="rId8" Type="http://schemas.openxmlformats.org/officeDocument/2006/relationships/hyperlink" Target="https://youtu.be/B2ZQkJ2EVjc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gamesheetstats.com/seasons/6740/games/1977733?utm_source=post_game&amp;utm_medium=email&amp;utm_campaign=post_game_report&amp;utm_content=view_box_score" TargetMode="External"/><Relationship Id="rId22" Type="http://schemas.openxmlformats.org/officeDocument/2006/relationships/hyperlink" Target="https://gamesheetstats.com/seasons/6740/games/1977795?utm_source=post_game&amp;utm_medium=email&amp;utm_campaign=post_game_report&amp;utm_content=view_box_score" TargetMode="External"/><Relationship Id="rId21" Type="http://schemas.openxmlformats.org/officeDocument/2006/relationships/hyperlink" Target="https://gamesheetstats.com/seasons/6740/games/1977789?utm_source=post_game&amp;utm_medium=email&amp;utm_campaign=post_game_report&amp;utm_content=view_box_score" TargetMode="External"/><Relationship Id="rId24" Type="http://schemas.openxmlformats.org/officeDocument/2006/relationships/hyperlink" Target="https://gamesheetstats.com/seasons/6740/games/1903297?utm_source=post_game&amp;utm_medium=email&amp;utm_campaign=post_game_report&amp;utm_content=view_box_score" TargetMode="External"/><Relationship Id="rId23" Type="http://schemas.openxmlformats.org/officeDocument/2006/relationships/hyperlink" Target="https://gamesheetstats.com/seasons/6740/games/1911325?utm_source=post_game&amp;utm_medium=email&amp;utm_campaign=post_game_report&amp;utm_content=view_box_score" TargetMode="External"/><Relationship Id="rId1" Type="http://schemas.openxmlformats.org/officeDocument/2006/relationships/hyperlink" Target="https://gamesheetstats.com/seasons/6740/games/1911318" TargetMode="External"/><Relationship Id="rId2" Type="http://schemas.openxmlformats.org/officeDocument/2006/relationships/hyperlink" Target="https://gamesheetstats.com/seasons/6740/games/1949700?utm_source=post_game&amp;utm_medium=email&amp;utm_campaign=post_game_report&amp;utm_content=view_box_score" TargetMode="External"/><Relationship Id="rId3" Type="http://schemas.openxmlformats.org/officeDocument/2006/relationships/hyperlink" Target="https://gamesheetstats.com/seasons/6740/games/1911319?utm_source=post_game&amp;utm_medium=email&amp;utm_campaign=post_game_report&amp;utm_content=view_box_score" TargetMode="External"/><Relationship Id="rId4" Type="http://schemas.openxmlformats.org/officeDocument/2006/relationships/hyperlink" Target="https://www.youtube.com/watch?v=wtuClDs13AE" TargetMode="External"/><Relationship Id="rId9" Type="http://schemas.openxmlformats.org/officeDocument/2006/relationships/hyperlink" Target="https://youtu.be/Ntkhc6zeOCs" TargetMode="External"/><Relationship Id="rId26" Type="http://schemas.openxmlformats.org/officeDocument/2006/relationships/hyperlink" Target="https://gamesheetstats.com/seasons/6740/games/1911327?utm_source=post_game&amp;utm_medium=email&amp;utm_campaign=post_game_report&amp;utm_content=view_box_score" TargetMode="External"/><Relationship Id="rId25" Type="http://schemas.openxmlformats.org/officeDocument/2006/relationships/hyperlink" Target="https://gamesheetstats.com/seasons/6740/games/1911326?utm_source=post_game&amp;utm_medium=email&amp;utm_campaign=post_game_report&amp;utm_content=view_box_score" TargetMode="External"/><Relationship Id="rId28" Type="http://schemas.openxmlformats.org/officeDocument/2006/relationships/hyperlink" Target="https://gamesheetstats.com/seasons/6740/games/1911328?utm_source=post_game&amp;utm_medium=email&amp;utm_campaign=post_game_report&amp;utm_content=view_box_score" TargetMode="External"/><Relationship Id="rId27" Type="http://schemas.openxmlformats.org/officeDocument/2006/relationships/hyperlink" Target="https://gamesheetstats.com/seasons/6740/games/1902572?utm_source=post_game&amp;utm_medium=email&amp;utm_campaign=post_game_report&amp;utm_content=view_box_score" TargetMode="External"/><Relationship Id="rId5" Type="http://schemas.openxmlformats.org/officeDocument/2006/relationships/hyperlink" Target="https://gamesheetstats.com/seasons/6740/games/1915318?utm_source=post_game&amp;utm_medium=email&amp;utm_campaign=post_game_report&amp;utm_content=view_box_score" TargetMode="External"/><Relationship Id="rId6" Type="http://schemas.openxmlformats.org/officeDocument/2006/relationships/hyperlink" Target="https://gamesheetstats.com/seasons/6740/games/1911320?utm_source=post_game&amp;utm_medium=email&amp;utm_campaign=post_game_report&amp;utm_content=view_box_score" TargetMode="External"/><Relationship Id="rId29" Type="http://schemas.openxmlformats.org/officeDocument/2006/relationships/hyperlink" Target="https://gamesheetstats.com/seasons/6740/games/2225248?utm_source=post_game&amp;utm_medium=email&amp;utm_campaign=post_game_report&amp;utm_content=view_box_score" TargetMode="External"/><Relationship Id="rId7" Type="http://schemas.openxmlformats.org/officeDocument/2006/relationships/hyperlink" Target="https://youtu.be/OteP7FLFuww" TargetMode="External"/><Relationship Id="rId8" Type="http://schemas.openxmlformats.org/officeDocument/2006/relationships/hyperlink" Target="https://gamesheetstats.com/seasons/6740/games/1911321?utm_source=post_game&amp;utm_medium=email&amp;utm_campaign=post_game_report&amp;utm_content=view_box_score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s://gamesheetstats.com/seasons/6740/games/1911322?utm_source=post_game&amp;utm_medium=email&amp;utm_campaign=post_game_report&amp;utm_content=view_box_score" TargetMode="External"/><Relationship Id="rId10" Type="http://schemas.openxmlformats.org/officeDocument/2006/relationships/hyperlink" Target="https://gamesheetstats.com/seasons/6740/games/1985543?utm_source=post_game&amp;utm_medium=email&amp;utm_campaign=post_game_report&amp;utm_content=view_box_score" TargetMode="External"/><Relationship Id="rId13" Type="http://schemas.openxmlformats.org/officeDocument/2006/relationships/hyperlink" Target="https://gamesheetstats.com/seasons/6740/games/1950042?utm_source=post_game&amp;utm_medium=email&amp;utm_campaign=post_game_report&amp;utm_content=view_box_score" TargetMode="External"/><Relationship Id="rId12" Type="http://schemas.openxmlformats.org/officeDocument/2006/relationships/hyperlink" Target="https://youtu.be/8I8yANQm4wk" TargetMode="External"/><Relationship Id="rId15" Type="http://schemas.openxmlformats.org/officeDocument/2006/relationships/hyperlink" Target="https://youtu.be/3_8TkdDdlDc" TargetMode="External"/><Relationship Id="rId14" Type="http://schemas.openxmlformats.org/officeDocument/2006/relationships/hyperlink" Target="https://gamesheetstats.com/seasons/6740/games/1911323?utm_source=post_game&amp;utm_medium=email&amp;utm_campaign=post_game_report&amp;utm_content=view_box_score" TargetMode="External"/><Relationship Id="rId17" Type="http://schemas.openxmlformats.org/officeDocument/2006/relationships/hyperlink" Target="https://youtu.be/7Q7XAk75FX4" TargetMode="External"/><Relationship Id="rId16" Type="http://schemas.openxmlformats.org/officeDocument/2006/relationships/hyperlink" Target="https://gamesheetstats.com/seasons/6740/games/1911324?utm_source=post_game&amp;utm_medium=email&amp;utm_campaign=post_game_report&amp;utm_content=view_box_score" TargetMode="External"/><Relationship Id="rId19" Type="http://schemas.openxmlformats.org/officeDocument/2006/relationships/hyperlink" Target="https://gamesheetstats.com/seasons/6740/games/1902566?utm_source=post_game&amp;utm_medium=email&amp;utm_campaign=post_game_report&amp;utm_content=view_box_score" TargetMode="External"/><Relationship Id="rId18" Type="http://schemas.openxmlformats.org/officeDocument/2006/relationships/hyperlink" Target="https://gamesheetstats.com/seasons/6740/games/1912711?utm_source=post_game&amp;utm_medium=email&amp;utm_campaign=post_game_report&amp;utm_content=view_box_score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gamesheetstats.com/seasons/3789/games/1464000?utm_source=post_game&amp;utm_medium=email&amp;utm_campaign=post_game_report&amp;utm_content=view_box_score" TargetMode="External"/><Relationship Id="rId22" Type="http://schemas.openxmlformats.org/officeDocument/2006/relationships/hyperlink" Target="https://gamesheetstats.com/seasons/3789/games/1464002?utm_source=post_game&amp;utm_medium=email&amp;utm_campaign=post_game_report&amp;utm_content=view_box_score" TargetMode="External"/><Relationship Id="rId21" Type="http://schemas.openxmlformats.org/officeDocument/2006/relationships/hyperlink" Target="https://gamesheetstats.com/seasons/3789/games/1498815?utm_source=post_game&amp;utm_medium=email&amp;utm_campaign=post_game_report&amp;utm_content=view_box_score" TargetMode="External"/><Relationship Id="rId24" Type="http://schemas.openxmlformats.org/officeDocument/2006/relationships/hyperlink" Target="https://gamesheetstats.com/seasons/3789/games/1452118?utm_source=post_game&amp;utm_medium=email&amp;utm_campaign=post_game_report&amp;utm_content=view_box_score" TargetMode="External"/><Relationship Id="rId23" Type="http://schemas.openxmlformats.org/officeDocument/2006/relationships/hyperlink" Target="https://gamesheetstats.com/seasons/3789/games/1567844?utm_source=post_game&amp;utm_medium=email&amp;utm_campaign=post_game_report&amp;utm_content=view_box_score" TargetMode="External"/><Relationship Id="rId1" Type="http://schemas.openxmlformats.org/officeDocument/2006/relationships/hyperlink" Target="https://gamesheetstats.com/seasons/3789/games/1452801" TargetMode="External"/><Relationship Id="rId2" Type="http://schemas.openxmlformats.org/officeDocument/2006/relationships/hyperlink" Target="https://gamesheetstats.com/seasons/3789/games/1452802" TargetMode="External"/><Relationship Id="rId3" Type="http://schemas.openxmlformats.org/officeDocument/2006/relationships/hyperlink" Target="https://www.youtube.com/watch?v=2rL23KkCa3c&amp;list=PLm8_pPAjFggskW1npWUwyAB9g1N2HGX7e&amp;index=1" TargetMode="External"/><Relationship Id="rId4" Type="http://schemas.openxmlformats.org/officeDocument/2006/relationships/hyperlink" Target="https://gamesheetstats.com/seasons/3789/games/1463995?utm_source=post_game&amp;utm_medium=email&amp;utm_campaign=post_game_report&amp;utm_content=view_box_score" TargetMode="External"/><Relationship Id="rId9" Type="http://schemas.openxmlformats.org/officeDocument/2006/relationships/hyperlink" Target="https://gamesheetstats.com/seasons/3789/games/1498810?utm_source=post_game&amp;utm_medium=email&amp;utm_campaign=post_game_report&amp;utm_content=view_box_score" TargetMode="External"/><Relationship Id="rId26" Type="http://schemas.openxmlformats.org/officeDocument/2006/relationships/hyperlink" Target="https://gamesheetstats.com/seasons/3789/games/1452119?utm_source=post_game&amp;utm_medium=email&amp;utm_campaign=post_game_report&amp;utm_content=view_box_score" TargetMode="External"/><Relationship Id="rId25" Type="http://schemas.openxmlformats.org/officeDocument/2006/relationships/hyperlink" Target="https://gamesheetstats.com/seasons/3789/games/1464003?utm_source=post_game&amp;utm_medium=email&amp;utm_campaign=post_game_report&amp;utm_content=view_box_score" TargetMode="External"/><Relationship Id="rId28" Type="http://schemas.openxmlformats.org/officeDocument/2006/relationships/hyperlink" Target="https://gamesheetstats.com/seasons/3789/games/1776416?utm_source=post_game&amp;utm_medium=email&amp;utm_campaign=post_game_report&amp;utm_content=view_box_score" TargetMode="External"/><Relationship Id="rId27" Type="http://schemas.openxmlformats.org/officeDocument/2006/relationships/hyperlink" Target="https://gamesheetstats.com/seasons/3789/games/1771788?utm_source=post_game&amp;utm_medium=email&amp;utm_campaign=post_game_report&amp;utm_content=view_box_score" TargetMode="External"/><Relationship Id="rId5" Type="http://schemas.openxmlformats.org/officeDocument/2006/relationships/hyperlink" Target="https://gamesheetstats.com/seasons/3789/games/1463996?utm_source=post_game&amp;utm_medium=email&amp;utm_campaign=post_game_report&amp;utm_content=view_box_score" TargetMode="External"/><Relationship Id="rId6" Type="http://schemas.openxmlformats.org/officeDocument/2006/relationships/hyperlink" Target="https://gamesheetstats.com/seasons/3789/games/1479298?utm_source=post_game&amp;utm_medium=email&amp;utm_campaign=post_game_report&amp;utm_content=view_box_score" TargetMode="External"/><Relationship Id="rId29" Type="http://schemas.openxmlformats.org/officeDocument/2006/relationships/hyperlink" Target="https://gamesheetstats.com/seasons/5843/games/1784945?utm_source=post_game&amp;utm_medium=email&amp;utm_campaign=post_game_report&amp;utm_content=view_box_score" TargetMode="External"/><Relationship Id="rId7" Type="http://schemas.openxmlformats.org/officeDocument/2006/relationships/hyperlink" Target="https://gamesheetstats.com/seasons/3789/games/1447069?utm_source=post_game&amp;utm_medium=email&amp;utm_campaign=post_game_report&amp;utm_content=view_box_score" TargetMode="External"/><Relationship Id="rId8" Type="http://schemas.openxmlformats.org/officeDocument/2006/relationships/hyperlink" Target="https://gamesheetstats.com/seasons/3789/games/1463998?utm_source=post_game&amp;utm_medium=email&amp;utm_campaign=post_game_report&amp;utm_content=view_box_score" TargetMode="External"/><Relationship Id="rId31" Type="http://schemas.openxmlformats.org/officeDocument/2006/relationships/hyperlink" Target="https://gamesheetstats.com/seasons/5843/games/1784965?utm_source=post_game&amp;utm_medium=email&amp;utm_campaign=post_game_report&amp;utm_content=view_box_score" TargetMode="External"/><Relationship Id="rId30" Type="http://schemas.openxmlformats.org/officeDocument/2006/relationships/hyperlink" Target="https://gamesheetstats.com/seasons/5843/games/1784955?utm_source=post_game&amp;utm_medium=email&amp;utm_campaign=post_game_report&amp;utm_content=view_box_score" TargetMode="External"/><Relationship Id="rId11" Type="http://schemas.openxmlformats.org/officeDocument/2006/relationships/hyperlink" Target="https://gamesheetstats.com/seasons/3789/games/1464004?utm_source=post_game&amp;utm_medium=email&amp;utm_campaign=post_game_report&amp;utm_content=view_box_score" TargetMode="External"/><Relationship Id="rId10" Type="http://schemas.openxmlformats.org/officeDocument/2006/relationships/hyperlink" Target="https://gamesheetstats.com/seasons/3789/games/1463999?utm_source=post_game&amp;utm_medium=email&amp;utm_campaign=post_game_report&amp;utm_content=view_box_score" TargetMode="External"/><Relationship Id="rId32" Type="http://schemas.openxmlformats.org/officeDocument/2006/relationships/drawing" Target="../drawings/drawing4.xml"/><Relationship Id="rId13" Type="http://schemas.openxmlformats.org/officeDocument/2006/relationships/hyperlink" Target="https://gamesheetstats.com/seasons/3789/games/1514460?utm_source=post_game&amp;utm_medium=email&amp;utm_campaign=post_game_report&amp;utm_content=view_box_score" TargetMode="External"/><Relationship Id="rId12" Type="http://schemas.openxmlformats.org/officeDocument/2006/relationships/hyperlink" Target="https://gamesheetstats.com/seasons/3789/games/1605848?utm_source=post_game&amp;utm_medium=email&amp;utm_campaign=post_game_report&amp;utm_content=view_box_score" TargetMode="External"/><Relationship Id="rId15" Type="http://schemas.openxmlformats.org/officeDocument/2006/relationships/hyperlink" Target="https://gamesheetstats.com/seasons/3789/games/1491712?utm_source=post_game&amp;utm_medium=email&amp;utm_campaign=post_game_report&amp;utm_content=view_box_score" TargetMode="External"/><Relationship Id="rId14" Type="http://schemas.openxmlformats.org/officeDocument/2006/relationships/hyperlink" Target="https://gamesheetstats.com/seasons/3789/games/1605849?utm_source=post_game&amp;utm_medium=email&amp;utm_campaign=post_game_report&amp;utm_content=view_box_score" TargetMode="External"/><Relationship Id="rId17" Type="http://schemas.openxmlformats.org/officeDocument/2006/relationships/hyperlink" Target="https://gamesheetstats.com/seasons/3789/games/1453473?utm_source=post_game&amp;utm_medium=email&amp;utm_campaign=post_game_report&amp;utm_content=view_box_score" TargetMode="External"/><Relationship Id="rId16" Type="http://schemas.openxmlformats.org/officeDocument/2006/relationships/hyperlink" Target="https://gamesheetstats.com/seasons/3789/games/1453472?utm_source=post_game&amp;utm_medium=email&amp;utm_campaign=post_game_report&amp;utm_content=view_box_score" TargetMode="External"/><Relationship Id="rId19" Type="http://schemas.openxmlformats.org/officeDocument/2006/relationships/hyperlink" Target="https://gamesheetstats.com/seasons/3789/games/1464001?utm_source=post_game&amp;utm_medium=email&amp;utm_campaign=post_game_report&amp;utm_content=view_box_score" TargetMode="External"/><Relationship Id="rId18" Type="http://schemas.openxmlformats.org/officeDocument/2006/relationships/hyperlink" Target="https://gamesheetstats.com/seasons/3789/games/1484768?utm_source=post_game&amp;utm_medium=email&amp;utm_campaign=post_game_report&amp;utm_content=view_box_scor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WLlG8nVCnng&amp;list=PLm8_pPAjFggs265WXQjHdPWaKNjbescU5&amp;index=15" TargetMode="External"/><Relationship Id="rId2" Type="http://schemas.openxmlformats.org/officeDocument/2006/relationships/hyperlink" Target="https://www.youtube.com/watch?v=I7SiiL2Y4RY&amp;list=PLm8_pPAjFggs265WXQjHdPWaKNjbescU5&amp;index=14" TargetMode="External"/><Relationship Id="rId3" Type="http://schemas.openxmlformats.org/officeDocument/2006/relationships/hyperlink" Target="https://gamesheetstats.com/seasons/1730/games/1157489?utm_campaign=post_game_report&amp;utm_content=view_box_score&amp;utm_medium=email&amp;utm_source=post_game" TargetMode="External"/><Relationship Id="rId4" Type="http://schemas.openxmlformats.org/officeDocument/2006/relationships/hyperlink" Target="https://www.youtube.com/watch?v=n5IcAkxVmUM&amp;list=PLm8_pPAjFggs265WXQjHdPWaKNjbescU5&amp;index=10" TargetMode="External"/><Relationship Id="rId9" Type="http://schemas.openxmlformats.org/officeDocument/2006/relationships/hyperlink" Target="https://www.youtube.com/watch?v=qF0luRPSVvg" TargetMode="External"/><Relationship Id="rId5" Type="http://schemas.openxmlformats.org/officeDocument/2006/relationships/hyperlink" Target="https://www.youtube.com/watch?v=MAPnhZrtXZs" TargetMode="External"/><Relationship Id="rId6" Type="http://schemas.openxmlformats.org/officeDocument/2006/relationships/hyperlink" Target="https://www.youtube.com/watch?v=glC6dNm2mKI" TargetMode="External"/><Relationship Id="rId7" Type="http://schemas.openxmlformats.org/officeDocument/2006/relationships/hyperlink" Target="https://www.youtube.com/watch?v=4MqThvCfMww" TargetMode="External"/><Relationship Id="rId8" Type="http://schemas.openxmlformats.org/officeDocument/2006/relationships/hyperlink" Target="https://www.youtube.com/watch?v=3iLGjdCQPrc" TargetMode="External"/><Relationship Id="rId11" Type="http://schemas.openxmlformats.org/officeDocument/2006/relationships/hyperlink" Target="https://www.youtube.com/watch?v=Xkxyik20ywM" TargetMode="External"/><Relationship Id="rId10" Type="http://schemas.openxmlformats.org/officeDocument/2006/relationships/hyperlink" Target="https://www.youtube.com/watch?v=Dn59V4iKx4Y" TargetMode="External"/><Relationship Id="rId13" Type="http://schemas.openxmlformats.org/officeDocument/2006/relationships/hyperlink" Target="https://www.youtube.com/watch?v=XuIUjdynVTY" TargetMode="External"/><Relationship Id="rId12" Type="http://schemas.openxmlformats.org/officeDocument/2006/relationships/hyperlink" Target="https://www.youtube.com/watch?v=00gn78iAAPM" TargetMode="External"/><Relationship Id="rId15" Type="http://schemas.openxmlformats.org/officeDocument/2006/relationships/hyperlink" Target="https://www.youtube.com/watch?v=LiGpmY2bmmA" TargetMode="External"/><Relationship Id="rId14" Type="http://schemas.openxmlformats.org/officeDocument/2006/relationships/hyperlink" Target="https://www.youtube.com/watch?v=kNEU5K5ZARU" TargetMode="External"/><Relationship Id="rId17" Type="http://schemas.openxmlformats.org/officeDocument/2006/relationships/hyperlink" Target="https://gamesheetstats.com/seasons/1730/games/1364889?utm_source=post_game&amp;utm_medium=email&amp;utm_campaign=post_game_report&amp;utm_content=view_box_score" TargetMode="External"/><Relationship Id="rId16" Type="http://schemas.openxmlformats.org/officeDocument/2006/relationships/hyperlink" Target="https://www.youtube.com/watch?v=E-9O7gA_Nt0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s://www.youtube.com/watch?v=8i9JBI8yjgo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gamesheet.app/seasons/723/stats/games/189726/box-score?utm_source=post_game&amp;utm_medium=email&amp;utm_campaign=post_game_report&amp;utm_content=view_box_score" TargetMode="External"/><Relationship Id="rId22" Type="http://schemas.openxmlformats.org/officeDocument/2006/relationships/hyperlink" Target="https://gamesheet.app/seasons/723/stats/games/192158/box-score?utm_source=post_game&amp;utm_medium=email&amp;utm_campaign=post_game_report&amp;utm_content=view_box_score" TargetMode="External"/><Relationship Id="rId21" Type="http://schemas.openxmlformats.org/officeDocument/2006/relationships/hyperlink" Target="https://www.youtube.com/watch?v=4wD9GjXTaek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gamesheet.app/seasons/723/stats/games/117667/box-score?utm_source=post_game&amp;utm_medium=email&amp;utm_campaign=post_game_report&amp;utm_content=view_box_score" TargetMode="External"/><Relationship Id="rId2" Type="http://schemas.openxmlformats.org/officeDocument/2006/relationships/hyperlink" Target="https://www.youtube.com/watch?v=3d5lseSl3As" TargetMode="External"/><Relationship Id="rId3" Type="http://schemas.openxmlformats.org/officeDocument/2006/relationships/hyperlink" Target="https://gamesheet.app/seasons/723/stats/games/118675/box-score?utm_source=post_game&amp;utm_medium=email&amp;utm_campaign=post_game_report&amp;utm_content=view_box_score" TargetMode="External"/><Relationship Id="rId4" Type="http://schemas.openxmlformats.org/officeDocument/2006/relationships/hyperlink" Target="https://gamesheet.app/seasons/723/stats/games/123182/box-score?utm_source=post_game&amp;utm_medium=email&amp;utm_campaign=post_game_report&amp;utm_content=view_box_score" TargetMode="External"/><Relationship Id="rId9" Type="http://schemas.openxmlformats.org/officeDocument/2006/relationships/hyperlink" Target="https://www.youtube.com/watch?v=EchEf2yQnPk" TargetMode="External"/><Relationship Id="rId5" Type="http://schemas.openxmlformats.org/officeDocument/2006/relationships/hyperlink" Target="https://www.youtube.com/watch?v=AKBk8Fu-iDQ" TargetMode="External"/><Relationship Id="rId6" Type="http://schemas.openxmlformats.org/officeDocument/2006/relationships/hyperlink" Target="https://youtu.be/7Ugxh8726gk?si=hMxAIriRnm_iBt22" TargetMode="External"/><Relationship Id="rId7" Type="http://schemas.openxmlformats.org/officeDocument/2006/relationships/hyperlink" Target="https://www.youtube.com/watch?v=PLLp5lsRq7s" TargetMode="External"/><Relationship Id="rId8" Type="http://schemas.openxmlformats.org/officeDocument/2006/relationships/hyperlink" Target="https://gamesheet.app/seasons/723/stats/games/134849/box-score?utm_source=post_game&amp;utm_medium=email&amp;utm_campaign=post_game_report&amp;utm_content=view_box_score" TargetMode="External"/><Relationship Id="rId11" Type="http://schemas.openxmlformats.org/officeDocument/2006/relationships/hyperlink" Target="https://gamesheet.app/seasons/723/stats/games/140585/box-score?utm_source=post_game&amp;utm_medium=email&amp;utm_campaign=post_game_report&amp;utm_content=view_box_score" TargetMode="External"/><Relationship Id="rId10" Type="http://schemas.openxmlformats.org/officeDocument/2006/relationships/hyperlink" Target="https://www.youtube.com/watch?v=uM2uw_c0gXA" TargetMode="External"/><Relationship Id="rId13" Type="http://schemas.openxmlformats.org/officeDocument/2006/relationships/hyperlink" Target="https://www.youtube.com/watch?v=JDBQou0UK44" TargetMode="External"/><Relationship Id="rId12" Type="http://schemas.openxmlformats.org/officeDocument/2006/relationships/hyperlink" Target="https://www.youtube.com/watch?v=5V0fAJspgp8" TargetMode="External"/><Relationship Id="rId15" Type="http://schemas.openxmlformats.org/officeDocument/2006/relationships/hyperlink" Target="https://www.youtube.com/watch?v=Hg4jAid4Hws" TargetMode="External"/><Relationship Id="rId14" Type="http://schemas.openxmlformats.org/officeDocument/2006/relationships/hyperlink" Target="https://gamesheet.app/seasons/723/stats/games/151846/box-score?utm_source=post_game&amp;utm_medium=email&amp;utm_campaign=post_game_report&amp;utm_content=view_box_score" TargetMode="External"/><Relationship Id="rId17" Type="http://schemas.openxmlformats.org/officeDocument/2006/relationships/hyperlink" Target="https://gamesheet.app/seasons/723/stats/games/180885/box-score?utm_source=post_game&amp;utm_medium=email&amp;utm_campaign=post_game_report&amp;utm_content=view_box_score" TargetMode="External"/><Relationship Id="rId16" Type="http://schemas.openxmlformats.org/officeDocument/2006/relationships/hyperlink" Target="https://gamesheet.app/seasons/723/stats/games/177940/box-score?utm_source=post_game&amp;utm_medium=email&amp;utm_campaign=post_game_report&amp;utm_content=view_box_score" TargetMode="External"/><Relationship Id="rId19" Type="http://schemas.openxmlformats.org/officeDocument/2006/relationships/hyperlink" Target="https://www.youtube.com/watch?v=eDFFhxz9iwc" TargetMode="External"/><Relationship Id="rId18" Type="http://schemas.openxmlformats.org/officeDocument/2006/relationships/hyperlink" Target="https://gamesheet.app/seasons/723/stats/games/186236/box-score?utm_source=post_game&amp;utm_medium=email&amp;utm_campaign=post_game_report&amp;utm_content=view_box_score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TRNlqJ1FdT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4.38"/>
    <col customWidth="1" min="2" max="2" width="16.5"/>
    <col customWidth="1" min="3" max="3" width="4.13"/>
    <col customWidth="1" min="4" max="4" width="4.5"/>
    <col customWidth="1" min="5" max="5" width="4.88"/>
    <col customWidth="1" min="6" max="6" width="5.38"/>
    <col customWidth="1" min="7" max="7" width="6.63"/>
  </cols>
  <sheetData>
    <row r="1">
      <c r="A1" s="1" t="s">
        <v>0</v>
      </c>
      <c r="B1" s="3"/>
      <c r="C1" s="4" t="str">
        <f>COUNTIF(E11:E111,"W")&amp;"-"&amp;COUNTIF(E11:E111,"L")&amp;"-"&amp;COUNTIF(E11:E111,"T")&amp;"-"&amp;COUNTIF(E11:E111,"OTL")</f>
        <v>0-0-0-0</v>
      </c>
      <c r="D1" s="3"/>
      <c r="E1" s="5"/>
      <c r="F1" s="6"/>
      <c r="G1" s="7"/>
    </row>
    <row r="2">
      <c r="A2" s="8" t="s">
        <v>1</v>
      </c>
      <c r="C2" s="10" t="str">
        <f>COUNTIF(G11:G98,"W")&amp;"-"&amp;COUNTIF(G11:G98,"L")&amp;"-"&amp;COUNTIF(G11:G98,"T")&amp;"-"&amp;COUNTIF(G11:G98,"OTL")</f>
        <v>0-0-0-0</v>
      </c>
      <c r="E2" s="11"/>
      <c r="F2" s="6"/>
      <c r="G2" s="6"/>
    </row>
    <row r="3">
      <c r="A3" s="12" t="s">
        <v>2</v>
      </c>
      <c r="B3" s="13"/>
      <c r="C3" s="13"/>
      <c r="D3" s="13"/>
      <c r="E3" s="14"/>
      <c r="F3" s="6"/>
      <c r="G3" s="6"/>
    </row>
    <row r="4">
      <c r="A4" s="15"/>
      <c r="B4" s="17"/>
      <c r="C4" s="16"/>
      <c r="D4" s="16"/>
      <c r="E4" s="18"/>
      <c r="F4" s="19" t="s">
        <v>3</v>
      </c>
      <c r="G4" s="20" t="s">
        <v>4</v>
      </c>
    </row>
    <row r="5">
      <c r="A5" s="21" t="s">
        <v>5</v>
      </c>
      <c r="B5" s="22"/>
      <c r="C5" s="22"/>
      <c r="D5" s="22"/>
      <c r="E5" s="23"/>
      <c r="F5" s="24"/>
      <c r="G5" s="6"/>
    </row>
    <row r="6">
      <c r="A6" s="25"/>
      <c r="B6" s="26"/>
      <c r="C6" s="26"/>
      <c r="D6" s="26"/>
      <c r="E6" s="27"/>
      <c r="F6" s="24"/>
      <c r="G6" s="6"/>
    </row>
    <row r="7">
      <c r="A7" s="28" t="s">
        <v>7</v>
      </c>
      <c r="C7" s="30" t="s">
        <v>8</v>
      </c>
      <c r="D7" s="30" t="s">
        <v>9</v>
      </c>
      <c r="E7" s="31" t="s">
        <v>10</v>
      </c>
      <c r="F7" s="6"/>
      <c r="G7" s="6"/>
    </row>
    <row r="8">
      <c r="A8" s="32" t="s">
        <v>11</v>
      </c>
      <c r="E8" s="11"/>
      <c r="F8" s="34"/>
      <c r="G8" s="34"/>
    </row>
    <row r="9">
      <c r="A9" s="35" t="s">
        <v>12</v>
      </c>
      <c r="E9" s="11"/>
      <c r="F9" s="34"/>
      <c r="G9" s="34"/>
    </row>
    <row r="10">
      <c r="A10" s="36"/>
      <c r="B10" s="22"/>
      <c r="C10" s="22"/>
      <c r="D10" s="22"/>
      <c r="E10" s="23"/>
      <c r="F10" s="34"/>
      <c r="G10" s="34"/>
    </row>
    <row r="11">
      <c r="A11" s="38" t="s">
        <v>13</v>
      </c>
      <c r="B11" s="40"/>
      <c r="C11" s="41"/>
      <c r="D11" s="41"/>
      <c r="E11" s="41"/>
      <c r="F11" s="42"/>
      <c r="G11" s="42"/>
    </row>
    <row r="12">
      <c r="A12" s="43">
        <v>27.0</v>
      </c>
      <c r="B12" s="44" t="s">
        <v>15</v>
      </c>
      <c r="E12" s="11"/>
      <c r="F12" s="34"/>
      <c r="G12" s="42"/>
    </row>
    <row r="13">
      <c r="A13" s="45"/>
      <c r="B13" s="46" t="s">
        <v>16</v>
      </c>
      <c r="C13" s="13"/>
      <c r="D13" s="13"/>
      <c r="E13" s="14"/>
      <c r="F13" s="34"/>
      <c r="G13" s="42"/>
    </row>
    <row r="14">
      <c r="A14" s="47" t="s">
        <v>17</v>
      </c>
      <c r="B14" s="48"/>
      <c r="C14" s="41"/>
      <c r="D14" s="41"/>
      <c r="E14" s="41"/>
      <c r="F14" s="34"/>
      <c r="G14" s="42"/>
    </row>
    <row r="15">
      <c r="A15" s="43">
        <v>3.0</v>
      </c>
      <c r="B15" s="44" t="s">
        <v>18</v>
      </c>
      <c r="E15" s="11"/>
      <c r="F15" s="50"/>
      <c r="G15" s="42"/>
    </row>
    <row r="16">
      <c r="A16" s="51"/>
      <c r="B16" s="53" t="s">
        <v>20</v>
      </c>
      <c r="C16" s="13"/>
      <c r="D16" s="13"/>
      <c r="E16" s="14"/>
      <c r="F16" s="50"/>
      <c r="G16" s="42"/>
    </row>
    <row r="17">
      <c r="A17" s="47" t="s">
        <v>17</v>
      </c>
      <c r="B17" s="48"/>
      <c r="C17" s="41"/>
      <c r="D17" s="41"/>
      <c r="E17" s="41"/>
      <c r="F17" s="42"/>
      <c r="G17" s="42"/>
    </row>
    <row r="18">
      <c r="A18" s="56">
        <v>4.0</v>
      </c>
      <c r="B18" s="54" t="s">
        <v>22</v>
      </c>
      <c r="E18" s="11"/>
      <c r="F18" s="50"/>
      <c r="G18" s="42"/>
    </row>
    <row r="19">
      <c r="A19" s="51"/>
      <c r="B19" s="46" t="s">
        <v>16</v>
      </c>
      <c r="C19" s="13"/>
      <c r="D19" s="13"/>
      <c r="E19" s="14"/>
      <c r="F19" s="58"/>
      <c r="G19" s="59"/>
    </row>
    <row r="20">
      <c r="A20" s="47" t="s">
        <v>17</v>
      </c>
      <c r="B20" s="48"/>
      <c r="C20" s="41"/>
      <c r="D20" s="41"/>
      <c r="E20" s="41"/>
      <c r="F20" s="50"/>
      <c r="G20" s="42"/>
    </row>
    <row r="21">
      <c r="A21" s="56">
        <v>9.0</v>
      </c>
      <c r="B21" s="60" t="s">
        <v>23</v>
      </c>
      <c r="E21" s="11"/>
      <c r="F21" s="50"/>
      <c r="G21" s="42"/>
    </row>
    <row r="22">
      <c r="A22" s="51"/>
      <c r="B22" s="46" t="s">
        <v>24</v>
      </c>
      <c r="C22" s="13"/>
      <c r="D22" s="13"/>
      <c r="E22" s="14"/>
      <c r="F22" s="58"/>
      <c r="G22" s="59"/>
    </row>
    <row r="23">
      <c r="A23" s="47" t="s">
        <v>17</v>
      </c>
      <c r="B23" s="61"/>
      <c r="C23" s="41"/>
      <c r="D23" s="41"/>
      <c r="E23" s="41"/>
      <c r="F23" s="42"/>
      <c r="G23" s="42"/>
    </row>
    <row r="24">
      <c r="A24" s="62">
        <v>11.0</v>
      </c>
      <c r="B24" s="44" t="s">
        <v>25</v>
      </c>
      <c r="E24" s="11"/>
      <c r="F24" s="50"/>
      <c r="G24" s="42"/>
    </row>
    <row r="25">
      <c r="A25" s="51"/>
      <c r="B25" s="46" t="s">
        <v>16</v>
      </c>
      <c r="C25" s="13"/>
      <c r="D25" s="13"/>
      <c r="E25" s="14"/>
      <c r="F25" s="58"/>
      <c r="G25" s="59"/>
    </row>
    <row r="26">
      <c r="A26" s="63" t="s">
        <v>17</v>
      </c>
      <c r="B26" s="64"/>
      <c r="C26" s="41"/>
      <c r="D26" s="66"/>
      <c r="E26" s="66"/>
      <c r="F26" s="42"/>
      <c r="G26" s="42"/>
    </row>
    <row r="27">
      <c r="A27" s="67">
        <v>18.0</v>
      </c>
      <c r="B27" s="68" t="s">
        <v>28</v>
      </c>
      <c r="E27" s="11"/>
      <c r="F27" s="42"/>
      <c r="G27" s="42"/>
    </row>
    <row r="28">
      <c r="A28" s="70"/>
      <c r="B28" s="46" t="s">
        <v>16</v>
      </c>
      <c r="C28" s="13"/>
      <c r="D28" s="13"/>
      <c r="E28" s="14"/>
      <c r="F28" s="42"/>
      <c r="G28" s="42"/>
    </row>
    <row r="29">
      <c r="A29" s="47" t="s">
        <v>17</v>
      </c>
      <c r="B29" s="61"/>
      <c r="C29" s="41"/>
      <c r="D29" s="41"/>
      <c r="E29" s="41"/>
      <c r="F29" s="42"/>
      <c r="G29" s="42"/>
    </row>
    <row r="30">
      <c r="A30" s="62">
        <v>23.0</v>
      </c>
      <c r="B30" s="44" t="s">
        <v>31</v>
      </c>
      <c r="E30" s="11"/>
      <c r="F30" s="42"/>
      <c r="G30" s="42"/>
    </row>
    <row r="31">
      <c r="A31" s="51"/>
      <c r="B31" s="46" t="s">
        <v>32</v>
      </c>
      <c r="C31" s="13"/>
      <c r="D31" s="13"/>
      <c r="E31" s="14"/>
      <c r="F31" s="42"/>
      <c r="G31" s="42"/>
    </row>
    <row r="32">
      <c r="A32" s="71" t="s">
        <v>17</v>
      </c>
      <c r="B32" s="72"/>
      <c r="C32" s="41"/>
      <c r="D32" s="41"/>
      <c r="E32" s="41"/>
      <c r="F32" s="42"/>
      <c r="G32" s="42"/>
    </row>
    <row r="33">
      <c r="A33" s="73">
        <v>25.0</v>
      </c>
      <c r="B33" s="60" t="s">
        <v>33</v>
      </c>
      <c r="E33" s="11"/>
      <c r="F33" s="50"/>
      <c r="G33" s="42"/>
    </row>
    <row r="34">
      <c r="A34" s="51"/>
      <c r="B34" s="46" t="s">
        <v>16</v>
      </c>
      <c r="C34" s="13"/>
      <c r="D34" s="13"/>
      <c r="E34" s="14"/>
      <c r="F34" s="58"/>
      <c r="G34" s="59"/>
    </row>
    <row r="35">
      <c r="A35" s="47" t="s">
        <v>34</v>
      </c>
      <c r="B35" s="61"/>
      <c r="C35" s="41"/>
      <c r="D35" s="41"/>
      <c r="E35" s="41"/>
      <c r="F35" s="42"/>
      <c r="G35" s="42"/>
    </row>
    <row r="36">
      <c r="A36" s="62">
        <v>1.0</v>
      </c>
      <c r="B36" s="44" t="s">
        <v>35</v>
      </c>
      <c r="E36" s="11"/>
      <c r="F36" s="50"/>
      <c r="G36" s="42"/>
    </row>
    <row r="37">
      <c r="A37" s="51"/>
      <c r="B37" s="46" t="s">
        <v>16</v>
      </c>
      <c r="C37" s="13"/>
      <c r="D37" s="13"/>
      <c r="E37" s="14"/>
      <c r="F37" s="50"/>
      <c r="G37" s="42"/>
    </row>
    <row r="38">
      <c r="A38" s="47" t="s">
        <v>34</v>
      </c>
      <c r="B38" s="61"/>
      <c r="C38" s="41"/>
      <c r="D38" s="41"/>
      <c r="E38" s="41"/>
      <c r="F38" s="42"/>
      <c r="G38" s="42"/>
    </row>
    <row r="39">
      <c r="A39" s="56">
        <v>8.0</v>
      </c>
      <c r="B39" s="44" t="s">
        <v>37</v>
      </c>
      <c r="E39" s="11"/>
      <c r="F39" s="50"/>
      <c r="G39" s="42"/>
    </row>
    <row r="40">
      <c r="A40" s="51"/>
      <c r="B40" s="46" t="s">
        <v>16</v>
      </c>
      <c r="C40" s="13"/>
      <c r="D40" s="13"/>
      <c r="E40" s="14"/>
      <c r="F40" s="58"/>
      <c r="G40" s="59"/>
    </row>
    <row r="41">
      <c r="A41" s="47" t="s">
        <v>34</v>
      </c>
      <c r="B41" s="61"/>
      <c r="C41" s="41"/>
      <c r="D41" s="41"/>
      <c r="E41" s="41"/>
      <c r="F41" s="42"/>
      <c r="G41" s="42"/>
    </row>
    <row r="42">
      <c r="A42" s="56">
        <v>13.0</v>
      </c>
      <c r="B42" s="44" t="s">
        <v>38</v>
      </c>
      <c r="E42" s="11"/>
      <c r="F42" s="42"/>
      <c r="G42" s="42"/>
    </row>
    <row r="43">
      <c r="A43" s="51"/>
      <c r="B43" s="46" t="s">
        <v>16</v>
      </c>
      <c r="C43" s="13"/>
      <c r="D43" s="13"/>
      <c r="E43" s="14"/>
      <c r="F43" s="42"/>
      <c r="G43" s="42"/>
    </row>
    <row r="44">
      <c r="A44" s="47" t="s">
        <v>34</v>
      </c>
      <c r="B44" s="61"/>
      <c r="C44" s="41"/>
      <c r="D44" s="41"/>
      <c r="E44" s="41"/>
      <c r="F44" s="42"/>
      <c r="G44" s="42"/>
    </row>
    <row r="45">
      <c r="A45" s="56">
        <v>14.0</v>
      </c>
      <c r="B45" s="76" t="s">
        <v>39</v>
      </c>
      <c r="E45" s="11"/>
      <c r="F45" s="42"/>
      <c r="G45" s="42"/>
    </row>
    <row r="46">
      <c r="A46" s="77"/>
      <c r="B46" s="46" t="s">
        <v>43</v>
      </c>
      <c r="C46" s="13"/>
      <c r="D46" s="13"/>
      <c r="E46" s="14"/>
      <c r="F46" s="42"/>
      <c r="G46" s="42"/>
    </row>
    <row r="47">
      <c r="A47" s="81"/>
      <c r="E47" s="11"/>
      <c r="F47" s="50"/>
      <c r="G47" s="42"/>
    </row>
    <row r="48">
      <c r="A48" s="83" t="s">
        <v>45</v>
      </c>
      <c r="B48" s="84"/>
      <c r="C48" s="84"/>
      <c r="D48" s="84"/>
      <c r="E48" s="85"/>
      <c r="F48" s="50"/>
      <c r="G48" s="42"/>
    </row>
    <row r="49">
      <c r="A49" s="86" t="s">
        <v>47</v>
      </c>
      <c r="E49" s="87"/>
      <c r="F49" s="50"/>
      <c r="G49" s="42"/>
    </row>
    <row r="50">
      <c r="A50" s="88" t="s">
        <v>34</v>
      </c>
      <c r="B50" s="89"/>
      <c r="C50" s="90"/>
      <c r="D50" s="90"/>
      <c r="E50" s="92"/>
      <c r="F50" s="42"/>
      <c r="G50" s="42"/>
    </row>
    <row r="51">
      <c r="A51" s="94">
        <v>20.0</v>
      </c>
      <c r="B51" s="95" t="s">
        <v>53</v>
      </c>
      <c r="E51" s="87"/>
      <c r="F51" s="42"/>
      <c r="G51" s="42"/>
    </row>
    <row r="52">
      <c r="A52" s="96"/>
      <c r="B52" s="13"/>
      <c r="C52" s="13"/>
      <c r="D52" s="13"/>
      <c r="E52" s="97"/>
      <c r="F52" s="42"/>
      <c r="G52" s="42"/>
    </row>
    <row r="53">
      <c r="A53" s="88" t="s">
        <v>34</v>
      </c>
      <c r="B53" s="89"/>
      <c r="C53" s="90"/>
      <c r="D53" s="90"/>
      <c r="E53" s="92"/>
      <c r="F53" s="34"/>
      <c r="G53" s="42"/>
    </row>
    <row r="54">
      <c r="A54" s="94">
        <v>21.0</v>
      </c>
      <c r="B54" s="95" t="s">
        <v>57</v>
      </c>
      <c r="E54" s="87"/>
      <c r="F54" s="34"/>
      <c r="G54" s="42"/>
    </row>
    <row r="55">
      <c r="A55" s="96"/>
      <c r="B55" s="13"/>
      <c r="C55" s="13"/>
      <c r="D55" s="13"/>
      <c r="E55" s="97"/>
      <c r="F55" s="34"/>
      <c r="G55" s="42"/>
    </row>
    <row r="56">
      <c r="A56" s="98" t="s">
        <v>34</v>
      </c>
      <c r="B56" s="99"/>
      <c r="C56" s="90"/>
      <c r="D56" s="90"/>
      <c r="E56" s="92"/>
      <c r="F56" s="34"/>
      <c r="G56" s="42"/>
    </row>
    <row r="57">
      <c r="A57" s="94">
        <v>22.0</v>
      </c>
      <c r="B57" s="95" t="s">
        <v>58</v>
      </c>
      <c r="E57" s="87"/>
      <c r="F57" s="34"/>
      <c r="G57" s="42"/>
    </row>
    <row r="58">
      <c r="A58" s="100"/>
      <c r="B58" s="101"/>
      <c r="C58" s="101"/>
      <c r="D58" s="101"/>
      <c r="E58" s="102"/>
      <c r="F58" s="34"/>
      <c r="G58" s="42"/>
    </row>
    <row r="59">
      <c r="A59" s="103"/>
      <c r="E59" s="105"/>
      <c r="F59" s="34"/>
      <c r="G59" s="42"/>
    </row>
    <row r="60">
      <c r="A60" s="38" t="s">
        <v>61</v>
      </c>
      <c r="B60" s="106"/>
      <c r="C60" s="107"/>
      <c r="D60" s="107"/>
      <c r="E60" s="107"/>
      <c r="F60" s="34"/>
      <c r="G60" s="42"/>
    </row>
    <row r="61">
      <c r="A61" s="43">
        <v>4.0</v>
      </c>
      <c r="B61" s="108" t="s">
        <v>63</v>
      </c>
      <c r="E61" s="11"/>
      <c r="F61" s="34"/>
      <c r="G61" s="42"/>
    </row>
    <row r="62">
      <c r="A62" s="51"/>
      <c r="B62" s="46" t="s">
        <v>64</v>
      </c>
      <c r="C62" s="13"/>
      <c r="D62" s="13"/>
      <c r="E62" s="14"/>
      <c r="F62" s="34"/>
      <c r="G62" s="42"/>
    </row>
    <row r="63">
      <c r="A63" s="38" t="s">
        <v>61</v>
      </c>
      <c r="B63" s="106"/>
      <c r="C63" s="107"/>
      <c r="D63" s="107"/>
      <c r="E63" s="107"/>
      <c r="F63" s="42"/>
      <c r="G63" s="42"/>
    </row>
    <row r="64">
      <c r="A64" s="43">
        <v>5.0</v>
      </c>
      <c r="B64" s="109" t="s">
        <v>67</v>
      </c>
      <c r="E64" s="11"/>
      <c r="F64" s="34"/>
      <c r="G64" s="42"/>
    </row>
    <row r="65">
      <c r="A65" s="77"/>
      <c r="B65" s="46" t="s">
        <v>16</v>
      </c>
      <c r="C65" s="13"/>
      <c r="D65" s="13"/>
      <c r="E65" s="14"/>
      <c r="F65" s="34"/>
      <c r="G65" s="42"/>
    </row>
    <row r="66">
      <c r="A66" s="38" t="s">
        <v>68</v>
      </c>
      <c r="B66" s="106"/>
      <c r="C66" s="107"/>
      <c r="D66" s="107"/>
      <c r="E66" s="107"/>
      <c r="F66" s="42"/>
      <c r="G66" s="42"/>
    </row>
    <row r="67">
      <c r="A67" s="43">
        <v>29.0</v>
      </c>
      <c r="B67" s="109" t="s">
        <v>69</v>
      </c>
      <c r="E67" s="11"/>
      <c r="F67" s="34"/>
      <c r="G67" s="42"/>
    </row>
    <row r="68">
      <c r="A68" s="51"/>
      <c r="B68" s="46" t="s">
        <v>16</v>
      </c>
      <c r="C68" s="13"/>
      <c r="D68" s="13"/>
      <c r="E68" s="14"/>
      <c r="F68" s="34"/>
      <c r="G68" s="42"/>
    </row>
    <row r="69">
      <c r="A69" s="38" t="s">
        <v>68</v>
      </c>
      <c r="B69" s="111"/>
      <c r="C69" s="107"/>
      <c r="D69" s="107"/>
      <c r="E69" s="107"/>
      <c r="F69" s="34"/>
      <c r="G69" s="42"/>
    </row>
    <row r="70">
      <c r="A70" s="43">
        <v>30.0</v>
      </c>
      <c r="B70" s="109" t="s">
        <v>71</v>
      </c>
      <c r="E70" s="11"/>
      <c r="F70" s="34"/>
      <c r="G70" s="42"/>
    </row>
    <row r="71">
      <c r="A71" s="77"/>
      <c r="B71" s="46" t="s">
        <v>72</v>
      </c>
      <c r="C71" s="13"/>
      <c r="D71" s="13"/>
      <c r="E71" s="14"/>
      <c r="F71" s="34"/>
      <c r="G71" s="42"/>
    </row>
    <row r="72">
      <c r="A72" s="38" t="s">
        <v>74</v>
      </c>
      <c r="B72" s="106"/>
      <c r="C72" s="107"/>
      <c r="D72" s="107"/>
      <c r="E72" s="107"/>
      <c r="F72" s="42"/>
      <c r="G72" s="42"/>
    </row>
    <row r="73">
      <c r="A73" s="43">
        <v>5.0</v>
      </c>
      <c r="B73" s="112" t="s">
        <v>76</v>
      </c>
      <c r="E73" s="11"/>
      <c r="F73" s="42"/>
      <c r="G73" s="42"/>
    </row>
    <row r="74">
      <c r="A74" s="77"/>
      <c r="B74" s="53" t="s">
        <v>77</v>
      </c>
      <c r="C74" s="13"/>
      <c r="D74" s="13"/>
      <c r="E74" s="14"/>
      <c r="F74" s="42"/>
      <c r="G74" s="42"/>
    </row>
    <row r="75">
      <c r="A75" s="113" t="s">
        <v>74</v>
      </c>
      <c r="B75" s="114"/>
      <c r="C75" s="107"/>
      <c r="D75" s="115"/>
      <c r="E75" s="115"/>
      <c r="F75" s="6"/>
      <c r="G75" s="116"/>
    </row>
    <row r="76">
      <c r="A76" s="43">
        <v>6.0</v>
      </c>
      <c r="B76" s="60" t="s">
        <v>81</v>
      </c>
      <c r="E76" s="11"/>
      <c r="F76" s="6"/>
      <c r="G76" s="116"/>
    </row>
    <row r="77">
      <c r="A77" s="113"/>
      <c r="B77" s="46" t="s">
        <v>82</v>
      </c>
      <c r="C77" s="13"/>
      <c r="D77" s="13"/>
      <c r="E77" s="14"/>
      <c r="F77" s="6"/>
      <c r="G77" s="116"/>
    </row>
    <row r="78">
      <c r="A78" s="38" t="s">
        <v>74</v>
      </c>
      <c r="B78" s="117"/>
      <c r="C78" s="107"/>
      <c r="D78" s="107"/>
      <c r="E78" s="107"/>
      <c r="F78" s="6"/>
      <c r="G78" s="116"/>
    </row>
    <row r="79">
      <c r="A79" s="43">
        <v>12.0</v>
      </c>
      <c r="B79" s="118" t="s">
        <v>83</v>
      </c>
      <c r="E79" s="11"/>
      <c r="F79" s="6"/>
      <c r="G79" s="116"/>
    </row>
    <row r="80">
      <c r="A80" s="119"/>
      <c r="B80" s="46" t="s">
        <v>16</v>
      </c>
      <c r="C80" s="13"/>
      <c r="D80" s="13"/>
      <c r="E80" s="14"/>
      <c r="F80" s="6"/>
      <c r="G80" s="116"/>
    </row>
    <row r="81">
      <c r="A81" s="38" t="s">
        <v>74</v>
      </c>
      <c r="B81" s="120"/>
      <c r="C81" s="107"/>
      <c r="D81" s="107"/>
      <c r="E81" s="107"/>
      <c r="F81" s="6"/>
      <c r="G81" s="116"/>
    </row>
    <row r="82">
      <c r="A82" s="43">
        <v>13.0</v>
      </c>
      <c r="B82" s="118" t="s">
        <v>86</v>
      </c>
      <c r="E82" s="11"/>
      <c r="F82" s="6"/>
      <c r="G82" s="116"/>
    </row>
    <row r="83">
      <c r="A83" s="121"/>
      <c r="B83" s="46" t="s">
        <v>87</v>
      </c>
      <c r="C83" s="13"/>
      <c r="D83" s="13"/>
      <c r="E83" s="14"/>
      <c r="F83" s="6"/>
      <c r="G83" s="116"/>
    </row>
    <row r="84">
      <c r="A84" s="122"/>
      <c r="B84" s="22"/>
      <c r="C84" s="22"/>
      <c r="D84" s="22"/>
      <c r="E84" s="23"/>
      <c r="F84" s="6"/>
      <c r="G84" s="6"/>
    </row>
    <row r="85">
      <c r="A85" s="123" t="s">
        <v>90</v>
      </c>
      <c r="B85" s="124"/>
      <c r="C85" s="124"/>
      <c r="D85" s="124"/>
      <c r="E85" s="125"/>
      <c r="F85" s="126"/>
      <c r="G85" s="34"/>
    </row>
    <row r="86">
      <c r="A86" s="127" t="s">
        <v>92</v>
      </c>
      <c r="E86" s="11"/>
      <c r="F86" s="42"/>
      <c r="G86" s="42"/>
    </row>
    <row r="87">
      <c r="A87" s="38" t="s">
        <v>74</v>
      </c>
      <c r="B87" s="106"/>
      <c r="C87" s="128"/>
      <c r="D87" s="128"/>
      <c r="E87" s="128"/>
      <c r="F87" s="42"/>
      <c r="G87" s="42"/>
    </row>
    <row r="88">
      <c r="A88" s="43">
        <v>18.0</v>
      </c>
      <c r="B88" s="109"/>
      <c r="E88" s="11"/>
      <c r="F88" s="116"/>
      <c r="G88" s="116"/>
    </row>
    <row r="89">
      <c r="A89" s="129"/>
      <c r="B89" s="130" t="s">
        <v>95</v>
      </c>
      <c r="C89" s="13"/>
      <c r="D89" s="13"/>
      <c r="E89" s="14"/>
      <c r="F89" s="116"/>
      <c r="G89" s="116"/>
    </row>
    <row r="90">
      <c r="A90" s="38" t="s">
        <v>74</v>
      </c>
      <c r="B90" s="120"/>
      <c r="C90" s="107"/>
      <c r="D90" s="107"/>
      <c r="E90" s="107"/>
      <c r="F90" s="116"/>
      <c r="G90" s="116"/>
    </row>
    <row r="91">
      <c r="A91" s="43">
        <v>19.0</v>
      </c>
      <c r="B91" s="109"/>
      <c r="E91" s="11"/>
      <c r="F91" s="116"/>
      <c r="G91" s="116"/>
    </row>
    <row r="92">
      <c r="A92" s="129"/>
      <c r="B92" s="130" t="s">
        <v>96</v>
      </c>
      <c r="C92" s="13"/>
      <c r="D92" s="13"/>
      <c r="E92" s="14"/>
      <c r="F92" s="116"/>
      <c r="G92" s="116"/>
    </row>
    <row r="93">
      <c r="A93" s="127"/>
      <c r="E93" s="11"/>
      <c r="F93" s="116"/>
      <c r="G93" s="116"/>
    </row>
    <row r="94">
      <c r="A94" s="131" t="s">
        <v>92</v>
      </c>
      <c r="B94" s="132"/>
      <c r="C94" s="132"/>
      <c r="D94" s="132"/>
      <c r="E94" s="133"/>
      <c r="F94" s="116"/>
      <c r="G94" s="116"/>
    </row>
    <row r="95">
      <c r="A95" s="38" t="s">
        <v>74</v>
      </c>
      <c r="B95" s="120"/>
      <c r="C95" s="107"/>
      <c r="D95" s="107"/>
      <c r="E95" s="107"/>
      <c r="F95" s="116"/>
      <c r="G95" s="116"/>
    </row>
    <row r="96">
      <c r="A96" s="43">
        <v>20.0</v>
      </c>
      <c r="B96" s="109"/>
      <c r="E96" s="11"/>
      <c r="F96" s="116"/>
      <c r="G96" s="116"/>
    </row>
    <row r="97">
      <c r="A97" s="51"/>
      <c r="B97" s="130" t="s">
        <v>99</v>
      </c>
      <c r="C97" s="13"/>
      <c r="D97" s="13"/>
      <c r="E97" s="14"/>
      <c r="F97" s="116"/>
      <c r="G97" s="116"/>
    </row>
    <row r="98">
      <c r="A98" s="134"/>
      <c r="B98" s="26"/>
      <c r="C98" s="26"/>
      <c r="D98" s="26"/>
      <c r="E98" s="27"/>
      <c r="F98" s="116"/>
      <c r="G98" s="116"/>
    </row>
    <row r="99" hidden="1">
      <c r="A99" s="135" t="s">
        <v>101</v>
      </c>
      <c r="B99" s="136"/>
      <c r="C99" s="136"/>
      <c r="D99" s="136"/>
      <c r="E99" s="137"/>
      <c r="F99" s="19"/>
      <c r="G99" s="116"/>
    </row>
    <row r="100" hidden="1">
      <c r="A100" s="139" t="s">
        <v>104</v>
      </c>
      <c r="E100" s="11"/>
      <c r="F100" s="19"/>
      <c r="G100" s="116"/>
    </row>
    <row r="101" hidden="1">
      <c r="A101" s="141" t="s">
        <v>105</v>
      </c>
      <c r="B101" s="13"/>
      <c r="C101" s="13"/>
      <c r="D101" s="13"/>
      <c r="E101" s="14"/>
      <c r="F101" s="19"/>
      <c r="G101" s="116"/>
    </row>
    <row r="102" hidden="1">
      <c r="A102" s="38" t="s">
        <v>106</v>
      </c>
      <c r="B102" s="106"/>
      <c r="C102" s="107"/>
      <c r="D102" s="107"/>
      <c r="E102" s="107"/>
      <c r="F102" s="19"/>
      <c r="G102" s="116"/>
    </row>
    <row r="103" hidden="1">
      <c r="A103" s="43"/>
      <c r="B103" s="109"/>
      <c r="E103" s="11"/>
      <c r="F103" s="19"/>
      <c r="G103" s="116"/>
    </row>
    <row r="104" hidden="1">
      <c r="A104" s="144"/>
      <c r="B104" s="13"/>
      <c r="C104" s="13"/>
      <c r="D104" s="13"/>
      <c r="E104" s="14"/>
      <c r="F104" s="19"/>
      <c r="G104" s="116"/>
    </row>
    <row r="105" hidden="1">
      <c r="A105" s="113" t="s">
        <v>106</v>
      </c>
      <c r="B105" s="145"/>
      <c r="C105" s="107"/>
      <c r="D105" s="107"/>
      <c r="E105" s="107"/>
      <c r="F105" s="19"/>
      <c r="G105" s="116"/>
    </row>
    <row r="106" hidden="1">
      <c r="A106" s="43"/>
      <c r="B106" s="109"/>
      <c r="E106" s="11"/>
      <c r="F106" s="19"/>
      <c r="G106" s="116"/>
    </row>
    <row r="107" hidden="1">
      <c r="A107" s="144"/>
      <c r="B107" s="13"/>
      <c r="C107" s="13"/>
      <c r="D107" s="13"/>
      <c r="E107" s="14"/>
      <c r="F107" s="19"/>
      <c r="G107" s="116"/>
    </row>
    <row r="108" hidden="1">
      <c r="A108" s="113" t="s">
        <v>106</v>
      </c>
      <c r="B108" s="147"/>
      <c r="C108" s="107"/>
      <c r="D108" s="107"/>
      <c r="E108" s="107"/>
      <c r="F108" s="19"/>
      <c r="G108" s="116"/>
    </row>
    <row r="109" hidden="1">
      <c r="A109" s="43"/>
      <c r="B109" s="109"/>
      <c r="E109" s="11"/>
      <c r="F109" s="19"/>
      <c r="G109" s="116"/>
    </row>
    <row r="110" hidden="1">
      <c r="A110" s="144"/>
      <c r="B110" s="13"/>
      <c r="C110" s="13"/>
      <c r="D110" s="13"/>
      <c r="E110" s="14"/>
      <c r="F110" s="19"/>
      <c r="G110" s="116"/>
    </row>
    <row r="111" hidden="1">
      <c r="A111" s="148"/>
      <c r="B111" s="136"/>
      <c r="C111" s="136"/>
      <c r="D111" s="136"/>
      <c r="E111" s="137"/>
      <c r="F111" s="19"/>
      <c r="G111" s="116"/>
    </row>
    <row r="112">
      <c r="A112" s="149" t="s">
        <v>108</v>
      </c>
      <c r="C112" s="151">
        <f t="shared" ref="C112:D112" si="1">SUM(C11:C111)</f>
        <v>0</v>
      </c>
      <c r="D112" s="151">
        <f t="shared" si="1"/>
        <v>0</v>
      </c>
      <c r="E112" s="152"/>
      <c r="F112" s="6"/>
      <c r="G112" s="6"/>
    </row>
    <row r="113">
      <c r="A113" s="153"/>
      <c r="B113" s="136"/>
      <c r="C113" s="136"/>
      <c r="D113" s="136"/>
      <c r="E113" s="137"/>
      <c r="F113" s="154"/>
      <c r="G113" s="6"/>
    </row>
    <row r="114">
      <c r="A114" s="156" t="s">
        <v>112</v>
      </c>
      <c r="B114" s="13"/>
      <c r="C114" s="158" t="s">
        <v>116</v>
      </c>
      <c r="D114" s="13"/>
      <c r="E114" s="14"/>
      <c r="F114" s="154"/>
      <c r="G114" s="6"/>
    </row>
  </sheetData>
  <mergeCells count="86">
    <mergeCell ref="B68:E68"/>
    <mergeCell ref="B70:E70"/>
    <mergeCell ref="B71:E71"/>
    <mergeCell ref="B73:E73"/>
    <mergeCell ref="B74:E74"/>
    <mergeCell ref="B76:E76"/>
    <mergeCell ref="B77:E77"/>
    <mergeCell ref="B79:E79"/>
    <mergeCell ref="B80:E80"/>
    <mergeCell ref="B82:E82"/>
    <mergeCell ref="B83:E83"/>
    <mergeCell ref="A84:E84"/>
    <mergeCell ref="A85:E85"/>
    <mergeCell ref="A86:E86"/>
    <mergeCell ref="B88:E88"/>
    <mergeCell ref="B89:E89"/>
    <mergeCell ref="B91:E91"/>
    <mergeCell ref="B92:E92"/>
    <mergeCell ref="A93:E93"/>
    <mergeCell ref="A94:E94"/>
    <mergeCell ref="B96:E96"/>
    <mergeCell ref="B97:E97"/>
    <mergeCell ref="A98:E98"/>
    <mergeCell ref="A99:E99"/>
    <mergeCell ref="A100:E100"/>
    <mergeCell ref="A101:E101"/>
    <mergeCell ref="B103:E103"/>
    <mergeCell ref="A104:E104"/>
    <mergeCell ref="A114:B114"/>
    <mergeCell ref="C114:E114"/>
    <mergeCell ref="B106:E106"/>
    <mergeCell ref="A107:E107"/>
    <mergeCell ref="B109:E109"/>
    <mergeCell ref="A110:E110"/>
    <mergeCell ref="A111:E111"/>
    <mergeCell ref="A112:B112"/>
    <mergeCell ref="A113:E113"/>
    <mergeCell ref="A1:B1"/>
    <mergeCell ref="C1:E1"/>
    <mergeCell ref="A2:B2"/>
    <mergeCell ref="C2:E2"/>
    <mergeCell ref="A3:E3"/>
    <mergeCell ref="A5:E6"/>
    <mergeCell ref="A7:B7"/>
    <mergeCell ref="A8:E8"/>
    <mergeCell ref="A9:E9"/>
    <mergeCell ref="A10:E10"/>
    <mergeCell ref="B12:E12"/>
    <mergeCell ref="B13:E13"/>
    <mergeCell ref="B15:E15"/>
    <mergeCell ref="B16:E16"/>
    <mergeCell ref="B18:E18"/>
    <mergeCell ref="B19:E19"/>
    <mergeCell ref="B21:E21"/>
    <mergeCell ref="B22:E22"/>
    <mergeCell ref="B24:E24"/>
    <mergeCell ref="B25:E25"/>
    <mergeCell ref="B27:E27"/>
    <mergeCell ref="B28:E28"/>
    <mergeCell ref="B30:E30"/>
    <mergeCell ref="B31:E31"/>
    <mergeCell ref="B33:E33"/>
    <mergeCell ref="B34:E34"/>
    <mergeCell ref="B36:E36"/>
    <mergeCell ref="B37:E37"/>
    <mergeCell ref="B39:E39"/>
    <mergeCell ref="B40:E40"/>
    <mergeCell ref="B42:E42"/>
    <mergeCell ref="B43:E43"/>
    <mergeCell ref="B45:E45"/>
    <mergeCell ref="B46:E46"/>
    <mergeCell ref="A47:E47"/>
    <mergeCell ref="A48:E48"/>
    <mergeCell ref="A49:E49"/>
    <mergeCell ref="B51:E51"/>
    <mergeCell ref="A52:E52"/>
    <mergeCell ref="B54:E54"/>
    <mergeCell ref="A55:E55"/>
    <mergeCell ref="B57:E57"/>
    <mergeCell ref="A58:E58"/>
    <mergeCell ref="A59:E59"/>
    <mergeCell ref="B61:E61"/>
    <mergeCell ref="B62:E62"/>
    <mergeCell ref="B64:E64"/>
    <mergeCell ref="B65:E65"/>
    <mergeCell ref="B67:E6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4.38"/>
    <col customWidth="1" min="2" max="2" width="16.5"/>
    <col customWidth="1" min="3" max="3" width="4.13"/>
    <col customWidth="1" min="4" max="4" width="4.5"/>
    <col customWidth="1" min="5" max="5" width="4.88"/>
    <col customWidth="1" min="6" max="6" width="5.38"/>
    <col customWidth="1" min="7" max="7" width="6.63"/>
  </cols>
  <sheetData>
    <row r="1">
      <c r="A1" s="1" t="s">
        <v>0</v>
      </c>
      <c r="B1" s="3"/>
      <c r="C1" s="4" t="str">
        <f>COUNTIF(E11:E111,"W")&amp;"-"&amp;COUNTIF(E11:E111,"L")&amp;"-"&amp;COUNTIF(E11:E111,"T")&amp;"-"&amp;COUNTIF(E11:E111,"OTL")</f>
        <v>19-6-0-0</v>
      </c>
      <c r="D1" s="3"/>
      <c r="E1" s="5"/>
      <c r="F1" s="6"/>
      <c r="G1" s="7"/>
    </row>
    <row r="2">
      <c r="A2" s="8" t="s">
        <v>1</v>
      </c>
      <c r="C2" s="10" t="str">
        <f>COUNTIF(G11:G98,"W")&amp;"-"&amp;COUNTIF(G11:G98,"L")&amp;"-"&amp;COUNTIF(G11:G98,"T")&amp;"-"&amp;COUNTIF(G11:G98,"OTL")</f>
        <v>9-4-0-0</v>
      </c>
      <c r="E2" s="11"/>
      <c r="F2" s="6"/>
      <c r="G2" s="6"/>
    </row>
    <row r="3">
      <c r="A3" s="12" t="s">
        <v>2</v>
      </c>
      <c r="B3" s="13"/>
      <c r="C3" s="13"/>
      <c r="D3" s="13"/>
      <c r="E3" s="14"/>
      <c r="F3" s="6"/>
      <c r="G3" s="6"/>
    </row>
    <row r="4">
      <c r="A4" s="15"/>
      <c r="B4" s="17"/>
      <c r="C4" s="16"/>
      <c r="D4" s="16"/>
      <c r="E4" s="18"/>
      <c r="F4" s="19" t="s">
        <v>3</v>
      </c>
      <c r="G4" s="20" t="s">
        <v>4</v>
      </c>
    </row>
    <row r="5">
      <c r="A5" s="21" t="s">
        <v>30</v>
      </c>
      <c r="B5" s="22"/>
      <c r="C5" s="22"/>
      <c r="D5" s="22"/>
      <c r="E5" s="23"/>
      <c r="F5" s="24"/>
      <c r="G5" s="6"/>
    </row>
    <row r="6">
      <c r="A6" s="25"/>
      <c r="B6" s="26"/>
      <c r="C6" s="26"/>
      <c r="D6" s="26"/>
      <c r="E6" s="27"/>
      <c r="F6" s="24"/>
      <c r="G6" s="6"/>
    </row>
    <row r="7">
      <c r="A7" s="28" t="s">
        <v>7</v>
      </c>
      <c r="C7" s="30" t="s">
        <v>8</v>
      </c>
      <c r="D7" s="30" t="s">
        <v>9</v>
      </c>
      <c r="E7" s="31" t="s">
        <v>10</v>
      </c>
      <c r="F7" s="6"/>
      <c r="G7" s="6"/>
    </row>
    <row r="8">
      <c r="A8" s="32" t="s">
        <v>11</v>
      </c>
      <c r="E8" s="11"/>
      <c r="F8" s="34"/>
      <c r="G8" s="34"/>
    </row>
    <row r="9">
      <c r="A9" s="35" t="s">
        <v>12</v>
      </c>
      <c r="E9" s="11"/>
      <c r="F9" s="34"/>
      <c r="G9" s="34"/>
    </row>
    <row r="10">
      <c r="A10" s="36"/>
      <c r="B10" s="22"/>
      <c r="C10" s="22"/>
      <c r="D10" s="22"/>
      <c r="E10" s="23"/>
      <c r="F10" s="34"/>
      <c r="G10" s="34"/>
    </row>
    <row r="11">
      <c r="A11" s="74" t="s">
        <v>13</v>
      </c>
      <c r="B11" s="40"/>
      <c r="C11" s="41">
        <v>8.0</v>
      </c>
      <c r="D11" s="41">
        <v>7.0</v>
      </c>
      <c r="E11" s="41" t="s">
        <v>19</v>
      </c>
      <c r="F11" s="42" t="s">
        <v>40</v>
      </c>
      <c r="G11" s="42" t="s">
        <v>19</v>
      </c>
    </row>
    <row r="12">
      <c r="A12" s="78">
        <v>21.0</v>
      </c>
      <c r="B12" s="44" t="s">
        <v>44</v>
      </c>
      <c r="E12" s="11"/>
      <c r="F12" s="34"/>
      <c r="G12" s="42"/>
    </row>
    <row r="13">
      <c r="A13" s="82" t="s">
        <v>42</v>
      </c>
      <c r="B13" s="46" t="s">
        <v>16</v>
      </c>
      <c r="C13" s="13"/>
      <c r="D13" s="13"/>
      <c r="E13" s="14"/>
      <c r="F13" s="34"/>
      <c r="G13" s="42"/>
    </row>
    <row r="14">
      <c r="A14" s="71" t="s">
        <v>13</v>
      </c>
      <c r="B14" s="48"/>
      <c r="C14" s="41">
        <v>7.0</v>
      </c>
      <c r="D14" s="41">
        <v>4.0</v>
      </c>
      <c r="E14" s="41" t="s">
        <v>19</v>
      </c>
      <c r="F14" s="34"/>
      <c r="G14" s="42"/>
    </row>
    <row r="15">
      <c r="A15" s="78">
        <v>28.0</v>
      </c>
      <c r="B15" s="54" t="s">
        <v>46</v>
      </c>
      <c r="E15" s="11"/>
      <c r="F15" s="50"/>
      <c r="G15" s="42"/>
    </row>
    <row r="16">
      <c r="A16" s="91" t="s">
        <v>42</v>
      </c>
      <c r="B16" s="46" t="s">
        <v>16</v>
      </c>
      <c r="C16" s="13"/>
      <c r="D16" s="13"/>
      <c r="E16" s="14"/>
      <c r="F16" s="50"/>
      <c r="G16" s="42"/>
    </row>
    <row r="17">
      <c r="A17" s="71" t="s">
        <v>17</v>
      </c>
      <c r="B17" s="48"/>
      <c r="C17" s="41">
        <v>4.0</v>
      </c>
      <c r="D17" s="41">
        <v>2.0</v>
      </c>
      <c r="E17" s="41" t="s">
        <v>19</v>
      </c>
      <c r="F17" s="42"/>
      <c r="G17" s="42"/>
    </row>
    <row r="18">
      <c r="A18" s="73">
        <v>4.0</v>
      </c>
      <c r="B18" s="54" t="s">
        <v>52</v>
      </c>
      <c r="E18" s="11"/>
      <c r="F18" s="50"/>
      <c r="G18" s="42"/>
    </row>
    <row r="19">
      <c r="A19" s="91" t="s">
        <v>42</v>
      </c>
      <c r="B19" s="46" t="s">
        <v>32</v>
      </c>
      <c r="C19" s="13"/>
      <c r="D19" s="13"/>
      <c r="E19" s="14"/>
      <c r="F19" s="58"/>
      <c r="G19" s="59"/>
    </row>
    <row r="20">
      <c r="A20" s="71" t="s">
        <v>17</v>
      </c>
      <c r="B20" s="72"/>
      <c r="C20" s="41">
        <v>1.0</v>
      </c>
      <c r="D20" s="41">
        <v>4.0</v>
      </c>
      <c r="E20" s="41" t="s">
        <v>26</v>
      </c>
      <c r="F20" s="50"/>
      <c r="G20" s="42" t="s">
        <v>26</v>
      </c>
    </row>
    <row r="21">
      <c r="A21" s="73">
        <v>5.0</v>
      </c>
      <c r="B21" s="60" t="s">
        <v>56</v>
      </c>
      <c r="E21" s="11"/>
      <c r="F21" s="50"/>
      <c r="G21" s="42"/>
    </row>
    <row r="22">
      <c r="A22" s="91" t="s">
        <v>42</v>
      </c>
      <c r="B22" s="46" t="s">
        <v>16</v>
      </c>
      <c r="C22" s="13"/>
      <c r="D22" s="13"/>
      <c r="E22" s="14"/>
      <c r="F22" s="50"/>
      <c r="G22" s="42"/>
    </row>
    <row r="23">
      <c r="A23" s="71" t="s">
        <v>17</v>
      </c>
      <c r="B23" s="48"/>
      <c r="C23" s="41">
        <v>4.0</v>
      </c>
      <c r="D23" s="41">
        <v>3.0</v>
      </c>
      <c r="E23" s="41" t="s">
        <v>19</v>
      </c>
      <c r="F23" s="50"/>
      <c r="G23" s="42"/>
    </row>
    <row r="24">
      <c r="A24" s="73">
        <v>10.0</v>
      </c>
      <c r="B24" s="68" t="s">
        <v>59</v>
      </c>
      <c r="E24" s="11"/>
      <c r="F24" s="50"/>
      <c r="G24" s="42"/>
    </row>
    <row r="25">
      <c r="A25" s="91" t="s">
        <v>42</v>
      </c>
      <c r="B25" s="46" t="s">
        <v>62</v>
      </c>
      <c r="C25" s="13"/>
      <c r="D25" s="13"/>
      <c r="E25" s="14"/>
      <c r="F25" s="58"/>
      <c r="G25" s="59"/>
    </row>
    <row r="26">
      <c r="A26" s="71" t="s">
        <v>17</v>
      </c>
      <c r="B26" s="61"/>
      <c r="C26" s="41">
        <v>6.0</v>
      </c>
      <c r="D26" s="41">
        <v>2.0</v>
      </c>
      <c r="E26" s="41" t="s">
        <v>19</v>
      </c>
      <c r="F26" s="42"/>
      <c r="G26" s="42" t="s">
        <v>19</v>
      </c>
    </row>
    <row r="27">
      <c r="A27" s="67">
        <v>12.0</v>
      </c>
      <c r="B27" s="44" t="s">
        <v>66</v>
      </c>
      <c r="E27" s="11"/>
      <c r="F27" s="50"/>
      <c r="G27" s="42"/>
    </row>
    <row r="28">
      <c r="A28" s="91" t="s">
        <v>42</v>
      </c>
      <c r="B28" s="46" t="s">
        <v>16</v>
      </c>
      <c r="C28" s="13"/>
      <c r="D28" s="13"/>
      <c r="E28" s="14"/>
      <c r="F28" s="58"/>
      <c r="G28" s="59"/>
    </row>
    <row r="29">
      <c r="A29" s="63" t="s">
        <v>17</v>
      </c>
      <c r="B29" s="64"/>
      <c r="C29" s="41">
        <v>5.0</v>
      </c>
      <c r="D29" s="66">
        <v>7.0</v>
      </c>
      <c r="E29" s="66" t="s">
        <v>26</v>
      </c>
      <c r="F29" s="42"/>
      <c r="G29" s="42" t="s">
        <v>26</v>
      </c>
    </row>
    <row r="30">
      <c r="A30" s="67">
        <v>17.0</v>
      </c>
      <c r="B30" s="60" t="s">
        <v>70</v>
      </c>
      <c r="E30" s="11"/>
      <c r="F30" s="42"/>
      <c r="G30" s="42"/>
    </row>
    <row r="31">
      <c r="A31" s="70"/>
      <c r="B31" s="46" t="s">
        <v>16</v>
      </c>
      <c r="C31" s="13"/>
      <c r="D31" s="13"/>
      <c r="E31" s="14"/>
      <c r="F31" s="42"/>
      <c r="G31" s="42"/>
    </row>
    <row r="32">
      <c r="A32" s="71" t="s">
        <v>17</v>
      </c>
      <c r="B32" s="72"/>
      <c r="C32" s="41">
        <v>6.0</v>
      </c>
      <c r="D32" s="41">
        <v>3.0</v>
      </c>
      <c r="E32" s="41" t="s">
        <v>19</v>
      </c>
      <c r="F32" s="42"/>
      <c r="G32" s="42"/>
    </row>
    <row r="33">
      <c r="A33" s="73">
        <v>26.0</v>
      </c>
      <c r="B33" s="68" t="s">
        <v>78</v>
      </c>
      <c r="E33" s="11"/>
      <c r="F33" s="50"/>
      <c r="G33" s="42"/>
    </row>
    <row r="34">
      <c r="A34" s="91" t="s">
        <v>42</v>
      </c>
      <c r="B34" s="46" t="s">
        <v>16</v>
      </c>
      <c r="C34" s="13"/>
      <c r="D34" s="13"/>
      <c r="E34" s="14"/>
      <c r="F34" s="58"/>
      <c r="G34" s="59"/>
    </row>
    <row r="35">
      <c r="A35" s="71" t="s">
        <v>34</v>
      </c>
      <c r="B35" s="61"/>
      <c r="C35" s="41">
        <v>2.0</v>
      </c>
      <c r="D35" s="41">
        <v>0.0</v>
      </c>
      <c r="E35" s="41" t="s">
        <v>19</v>
      </c>
      <c r="F35" s="42"/>
      <c r="G35" s="42"/>
    </row>
    <row r="36">
      <c r="A36" s="67">
        <v>2.0</v>
      </c>
      <c r="B36" s="54" t="s">
        <v>84</v>
      </c>
      <c r="E36" s="11"/>
      <c r="F36" s="50"/>
      <c r="G36" s="42"/>
    </row>
    <row r="37">
      <c r="A37" s="91" t="s">
        <v>42</v>
      </c>
      <c r="B37" s="46" t="s">
        <v>16</v>
      </c>
      <c r="C37" s="13"/>
      <c r="D37" s="13"/>
      <c r="E37" s="14"/>
      <c r="F37" s="50"/>
      <c r="G37" s="42"/>
    </row>
    <row r="38">
      <c r="A38" s="71" t="s">
        <v>34</v>
      </c>
      <c r="B38" s="61"/>
      <c r="C38" s="41">
        <v>5.0</v>
      </c>
      <c r="D38" s="41">
        <v>4.0</v>
      </c>
      <c r="E38" s="41" t="s">
        <v>19</v>
      </c>
      <c r="F38" s="42" t="s">
        <v>40</v>
      </c>
      <c r="G38" s="42" t="s">
        <v>19</v>
      </c>
    </row>
    <row r="39">
      <c r="A39" s="73">
        <v>7.0</v>
      </c>
      <c r="B39" s="44" t="s">
        <v>89</v>
      </c>
      <c r="E39" s="11"/>
      <c r="F39" s="50"/>
      <c r="G39" s="42"/>
    </row>
    <row r="40">
      <c r="A40" s="91" t="s">
        <v>42</v>
      </c>
      <c r="B40" s="53" t="s">
        <v>91</v>
      </c>
      <c r="C40" s="13"/>
      <c r="D40" s="13"/>
      <c r="E40" s="14"/>
      <c r="F40" s="58"/>
      <c r="G40" s="59"/>
    </row>
    <row r="41">
      <c r="A41" s="71" t="s">
        <v>34</v>
      </c>
      <c r="B41" s="61"/>
      <c r="C41" s="41">
        <v>5.0</v>
      </c>
      <c r="D41" s="41">
        <v>3.0</v>
      </c>
      <c r="E41" s="41" t="s">
        <v>19</v>
      </c>
      <c r="F41" s="42"/>
      <c r="G41" s="42" t="s">
        <v>19</v>
      </c>
    </row>
    <row r="42">
      <c r="A42" s="73">
        <v>8.0</v>
      </c>
      <c r="B42" s="44" t="s">
        <v>93</v>
      </c>
      <c r="E42" s="11"/>
      <c r="F42" s="42"/>
      <c r="G42" s="42"/>
    </row>
    <row r="43">
      <c r="A43" s="91" t="s">
        <v>42</v>
      </c>
      <c r="B43" s="46" t="s">
        <v>16</v>
      </c>
      <c r="C43" s="13"/>
      <c r="D43" s="13"/>
      <c r="E43" s="14"/>
      <c r="F43" s="42"/>
      <c r="G43" s="42"/>
    </row>
    <row r="44">
      <c r="A44" s="71" t="s">
        <v>34</v>
      </c>
      <c r="B44" s="61"/>
      <c r="C44" s="41">
        <v>5.0</v>
      </c>
      <c r="D44" s="41">
        <v>2.0</v>
      </c>
      <c r="E44" s="41" t="s">
        <v>19</v>
      </c>
      <c r="F44" s="42"/>
      <c r="G44" s="42" t="s">
        <v>19</v>
      </c>
    </row>
    <row r="45">
      <c r="A45" s="73">
        <v>14.0</v>
      </c>
      <c r="B45" s="76" t="s">
        <v>98</v>
      </c>
      <c r="E45" s="11"/>
      <c r="F45" s="42"/>
      <c r="G45" s="42"/>
    </row>
    <row r="46">
      <c r="A46" s="70"/>
      <c r="B46" s="46" t="s">
        <v>24</v>
      </c>
      <c r="C46" s="13"/>
      <c r="D46" s="13"/>
      <c r="E46" s="14"/>
      <c r="F46" s="42"/>
      <c r="G46" s="42"/>
    </row>
    <row r="47">
      <c r="A47" s="81"/>
      <c r="E47" s="11"/>
      <c r="F47" s="50"/>
      <c r="G47" s="42"/>
    </row>
    <row r="48">
      <c r="A48" s="83" t="s">
        <v>45</v>
      </c>
      <c r="B48" s="84"/>
      <c r="C48" s="84"/>
      <c r="D48" s="84"/>
      <c r="E48" s="85"/>
      <c r="F48" s="50"/>
      <c r="G48" s="42"/>
    </row>
    <row r="49">
      <c r="A49" s="86" t="s">
        <v>102</v>
      </c>
      <c r="E49" s="87"/>
      <c r="F49" s="50"/>
      <c r="G49" s="42"/>
    </row>
    <row r="50">
      <c r="A50" s="138" t="s">
        <v>34</v>
      </c>
      <c r="B50" s="140"/>
      <c r="C50" s="107">
        <v>4.0</v>
      </c>
      <c r="D50" s="107">
        <v>0.0</v>
      </c>
      <c r="E50" s="142" t="s">
        <v>19</v>
      </c>
      <c r="F50" s="42"/>
      <c r="G50" s="42" t="s">
        <v>19</v>
      </c>
    </row>
    <row r="51">
      <c r="A51" s="143">
        <v>22.0</v>
      </c>
      <c r="B51" s="109" t="s">
        <v>70</v>
      </c>
      <c r="E51" s="87"/>
      <c r="F51" s="42"/>
      <c r="G51" s="42"/>
    </row>
    <row r="52">
      <c r="A52" s="146"/>
      <c r="B52" s="13"/>
      <c r="C52" s="13"/>
      <c r="D52" s="13"/>
      <c r="E52" s="97"/>
      <c r="F52" s="42"/>
      <c r="G52" s="42"/>
    </row>
    <row r="53">
      <c r="A53" s="98" t="s">
        <v>34</v>
      </c>
      <c r="B53" s="99"/>
      <c r="C53" s="90">
        <v>6.0</v>
      </c>
      <c r="D53" s="90">
        <v>2.0</v>
      </c>
      <c r="E53" s="92" t="s">
        <v>19</v>
      </c>
      <c r="F53" s="34"/>
      <c r="G53" s="42"/>
    </row>
    <row r="54">
      <c r="A54" s="94">
        <v>23.0</v>
      </c>
      <c r="B54" s="95" t="s">
        <v>53</v>
      </c>
      <c r="E54" s="87"/>
      <c r="F54" s="34"/>
      <c r="G54" s="42"/>
    </row>
    <row r="55">
      <c r="A55" s="100"/>
      <c r="B55" s="101"/>
      <c r="C55" s="101"/>
      <c r="D55" s="101"/>
      <c r="E55" s="102"/>
      <c r="F55" s="34"/>
      <c r="G55" s="42"/>
    </row>
    <row r="56">
      <c r="A56" s="103"/>
      <c r="E56" s="105"/>
      <c r="F56" s="34"/>
      <c r="G56" s="42"/>
    </row>
    <row r="57">
      <c r="A57" s="38" t="s">
        <v>61</v>
      </c>
      <c r="B57" s="106"/>
      <c r="C57" s="107">
        <v>3.0</v>
      </c>
      <c r="D57" s="107">
        <v>4.0</v>
      </c>
      <c r="E57" s="107" t="s">
        <v>26</v>
      </c>
      <c r="F57" s="34"/>
      <c r="G57" s="42"/>
    </row>
    <row r="58">
      <c r="A58" s="43">
        <v>5.0</v>
      </c>
      <c r="B58" s="108" t="s">
        <v>109</v>
      </c>
      <c r="E58" s="11"/>
      <c r="F58" s="34"/>
      <c r="G58" s="42"/>
    </row>
    <row r="59">
      <c r="A59" s="91" t="s">
        <v>42</v>
      </c>
      <c r="B59" s="46" t="s">
        <v>72</v>
      </c>
      <c r="C59" s="13"/>
      <c r="D59" s="13"/>
      <c r="E59" s="14"/>
      <c r="F59" s="34"/>
      <c r="G59" s="42"/>
    </row>
    <row r="60">
      <c r="A60" s="38" t="s">
        <v>61</v>
      </c>
      <c r="B60" s="106"/>
      <c r="C60" s="107">
        <v>4.0</v>
      </c>
      <c r="D60" s="107">
        <v>3.0</v>
      </c>
      <c r="E60" s="107" t="s">
        <v>19</v>
      </c>
      <c r="F60" s="42"/>
      <c r="G60" s="42"/>
    </row>
    <row r="61">
      <c r="A61" s="43">
        <v>6.0</v>
      </c>
      <c r="B61" s="108" t="s">
        <v>113</v>
      </c>
      <c r="E61" s="11"/>
      <c r="F61" s="34"/>
      <c r="G61" s="42"/>
    </row>
    <row r="62">
      <c r="A62" s="77"/>
      <c r="B62" s="53" t="s">
        <v>20</v>
      </c>
      <c r="C62" s="13"/>
      <c r="D62" s="13"/>
      <c r="E62" s="14"/>
      <c r="F62" s="34"/>
      <c r="G62" s="42"/>
    </row>
    <row r="63">
      <c r="A63" s="38" t="s">
        <v>68</v>
      </c>
      <c r="B63" s="106"/>
      <c r="C63" s="107">
        <v>4.0</v>
      </c>
      <c r="D63" s="107">
        <v>3.0</v>
      </c>
      <c r="E63" s="107" t="s">
        <v>19</v>
      </c>
      <c r="F63" s="42"/>
      <c r="G63" s="42"/>
    </row>
    <row r="64">
      <c r="A64" s="43">
        <v>24.0</v>
      </c>
      <c r="B64" s="108" t="s">
        <v>115</v>
      </c>
      <c r="E64" s="11"/>
      <c r="F64" s="34"/>
      <c r="G64" s="42"/>
    </row>
    <row r="65">
      <c r="A65" s="91" t="s">
        <v>42</v>
      </c>
      <c r="B65" s="46" t="s">
        <v>16</v>
      </c>
      <c r="C65" s="13"/>
      <c r="D65" s="13"/>
      <c r="E65" s="14"/>
      <c r="F65" s="34"/>
      <c r="G65" s="42"/>
    </row>
    <row r="66">
      <c r="A66" s="38" t="s">
        <v>68</v>
      </c>
      <c r="B66" s="111" t="s">
        <v>118</v>
      </c>
      <c r="C66" s="107"/>
      <c r="D66" s="107"/>
      <c r="E66" s="107"/>
      <c r="F66" s="34"/>
      <c r="G66" s="42"/>
    </row>
    <row r="67">
      <c r="A67" s="43">
        <v>25.0</v>
      </c>
      <c r="B67" s="108" t="s">
        <v>120</v>
      </c>
      <c r="E67" s="11"/>
      <c r="F67" s="34"/>
      <c r="G67" s="42"/>
    </row>
    <row r="68">
      <c r="A68" s="77"/>
      <c r="B68" s="46" t="s">
        <v>82</v>
      </c>
      <c r="C68" s="13"/>
      <c r="D68" s="13"/>
      <c r="E68" s="14"/>
      <c r="F68" s="34"/>
      <c r="G68" s="42"/>
    </row>
    <row r="69">
      <c r="A69" s="38" t="s">
        <v>68</v>
      </c>
      <c r="B69" s="106"/>
      <c r="C69" s="107">
        <v>3.0</v>
      </c>
      <c r="D69" s="107">
        <v>4.0</v>
      </c>
      <c r="E69" s="107" t="s">
        <v>26</v>
      </c>
      <c r="F69" s="42"/>
      <c r="G69" s="42" t="s">
        <v>26</v>
      </c>
    </row>
    <row r="70">
      <c r="A70" s="43">
        <v>31.0</v>
      </c>
      <c r="B70" s="118" t="s">
        <v>122</v>
      </c>
      <c r="E70" s="11"/>
      <c r="F70" s="42"/>
      <c r="G70" s="42"/>
    </row>
    <row r="71">
      <c r="A71" s="77"/>
      <c r="B71" s="53" t="s">
        <v>123</v>
      </c>
      <c r="C71" s="13"/>
      <c r="D71" s="13"/>
      <c r="E71" s="14"/>
      <c r="F71" s="42"/>
      <c r="G71" s="42"/>
    </row>
    <row r="72">
      <c r="A72" s="113" t="s">
        <v>74</v>
      </c>
      <c r="B72" s="114"/>
      <c r="C72" s="107">
        <v>6.0</v>
      </c>
      <c r="D72" s="115">
        <v>3.0</v>
      </c>
      <c r="E72" s="115" t="s">
        <v>19</v>
      </c>
      <c r="F72" s="6"/>
      <c r="G72" s="116" t="s">
        <v>19</v>
      </c>
    </row>
    <row r="73">
      <c r="A73" s="43">
        <v>1.0</v>
      </c>
      <c r="B73" s="60" t="s">
        <v>124</v>
      </c>
      <c r="E73" s="11"/>
      <c r="F73" s="6"/>
      <c r="G73" s="116"/>
    </row>
    <row r="74">
      <c r="A74" s="113"/>
      <c r="B74" s="53" t="s">
        <v>125</v>
      </c>
      <c r="C74" s="13"/>
      <c r="D74" s="13"/>
      <c r="E74" s="14"/>
      <c r="F74" s="6"/>
      <c r="G74" s="116"/>
    </row>
    <row r="75">
      <c r="A75" s="38" t="s">
        <v>74</v>
      </c>
      <c r="B75" s="117"/>
      <c r="C75" s="107">
        <v>4.0</v>
      </c>
      <c r="D75" s="107">
        <v>3.0</v>
      </c>
      <c r="E75" s="107" t="s">
        <v>19</v>
      </c>
      <c r="F75" s="6"/>
      <c r="G75" s="116" t="s">
        <v>19</v>
      </c>
    </row>
    <row r="76">
      <c r="A76" s="43">
        <v>7.0</v>
      </c>
      <c r="B76" s="118" t="s">
        <v>97</v>
      </c>
      <c r="E76" s="11"/>
      <c r="F76" s="6"/>
      <c r="G76" s="116"/>
    </row>
    <row r="77">
      <c r="A77" s="119"/>
      <c r="B77" s="46" t="s">
        <v>64</v>
      </c>
      <c r="C77" s="13"/>
      <c r="D77" s="13"/>
      <c r="E77" s="14"/>
      <c r="F77" s="6"/>
      <c r="G77" s="116"/>
    </row>
    <row r="78">
      <c r="A78" s="38" t="s">
        <v>74</v>
      </c>
      <c r="B78" s="120"/>
      <c r="C78" s="107">
        <v>6.0</v>
      </c>
      <c r="D78" s="107">
        <v>4.0</v>
      </c>
      <c r="E78" s="107" t="s">
        <v>19</v>
      </c>
      <c r="F78" s="6"/>
      <c r="G78" s="116" t="s">
        <v>19</v>
      </c>
    </row>
    <row r="79">
      <c r="A79" s="43">
        <v>13.0</v>
      </c>
      <c r="B79" s="118" t="s">
        <v>41</v>
      </c>
      <c r="E79" s="11"/>
      <c r="F79" s="6"/>
      <c r="G79" s="116"/>
    </row>
    <row r="80">
      <c r="A80" s="163" t="s">
        <v>42</v>
      </c>
      <c r="B80" s="46" t="s">
        <v>16</v>
      </c>
      <c r="C80" s="13"/>
      <c r="D80" s="13"/>
      <c r="E80" s="14"/>
      <c r="F80" s="6"/>
      <c r="G80" s="116"/>
    </row>
    <row r="81">
      <c r="A81" s="38" t="s">
        <v>74</v>
      </c>
      <c r="B81" s="120"/>
      <c r="C81" s="107">
        <v>0.0</v>
      </c>
      <c r="D81" s="107">
        <v>6.0</v>
      </c>
      <c r="E81" s="107" t="s">
        <v>26</v>
      </c>
      <c r="F81" s="6"/>
      <c r="G81" s="116" t="s">
        <v>26</v>
      </c>
    </row>
    <row r="82">
      <c r="A82" s="43">
        <v>15.0</v>
      </c>
      <c r="B82" s="118" t="s">
        <v>117</v>
      </c>
      <c r="E82" s="11"/>
      <c r="F82" s="6"/>
      <c r="G82" s="116"/>
    </row>
    <row r="83">
      <c r="A83" s="119"/>
      <c r="B83" s="53" t="s">
        <v>20</v>
      </c>
      <c r="C83" s="13"/>
      <c r="D83" s="13"/>
      <c r="E83" s="14"/>
      <c r="F83" s="6"/>
      <c r="G83" s="116"/>
    </row>
    <row r="84">
      <c r="A84" s="122"/>
      <c r="B84" s="22"/>
      <c r="C84" s="22"/>
      <c r="D84" s="22"/>
      <c r="E84" s="23"/>
      <c r="F84" s="6"/>
      <c r="G84" s="6"/>
    </row>
    <row r="85">
      <c r="A85" s="123" t="s">
        <v>128</v>
      </c>
      <c r="B85" s="124"/>
      <c r="C85" s="124"/>
      <c r="D85" s="124"/>
      <c r="E85" s="125"/>
      <c r="F85" s="126"/>
      <c r="G85" s="34"/>
    </row>
    <row r="86">
      <c r="A86" s="127" t="s">
        <v>107</v>
      </c>
      <c r="E86" s="11"/>
      <c r="F86" s="42"/>
      <c r="G86" s="42"/>
    </row>
    <row r="87">
      <c r="A87" s="38" t="s">
        <v>74</v>
      </c>
      <c r="B87" s="106"/>
      <c r="C87" s="128">
        <v>7.0</v>
      </c>
      <c r="D87" s="128">
        <v>1.0</v>
      </c>
      <c r="E87" s="128" t="s">
        <v>19</v>
      </c>
      <c r="F87" s="42"/>
      <c r="G87" s="42"/>
    </row>
    <row r="88">
      <c r="A88" s="43">
        <v>20.0</v>
      </c>
      <c r="B88" s="109" t="s">
        <v>93</v>
      </c>
      <c r="E88" s="11"/>
      <c r="F88" s="116"/>
      <c r="G88" s="116"/>
    </row>
    <row r="89">
      <c r="A89" s="166" t="s">
        <v>42</v>
      </c>
      <c r="B89" s="130" t="s">
        <v>95</v>
      </c>
      <c r="C89" s="13"/>
      <c r="D89" s="13"/>
      <c r="E89" s="14"/>
      <c r="F89" s="116"/>
      <c r="G89" s="116"/>
    </row>
    <row r="90">
      <c r="A90" s="38" t="s">
        <v>74</v>
      </c>
      <c r="B90" s="120"/>
      <c r="C90" s="107">
        <v>4.0</v>
      </c>
      <c r="D90" s="107">
        <v>2.0</v>
      </c>
      <c r="E90" s="107" t="s">
        <v>19</v>
      </c>
      <c r="F90" s="116"/>
      <c r="G90" s="116"/>
    </row>
    <row r="91">
      <c r="A91" s="43">
        <v>21.0</v>
      </c>
      <c r="B91" s="109" t="s">
        <v>41</v>
      </c>
      <c r="E91" s="11"/>
      <c r="F91" s="116"/>
      <c r="G91" s="116"/>
    </row>
    <row r="92">
      <c r="A92" s="166" t="s">
        <v>42</v>
      </c>
      <c r="B92" s="130" t="s">
        <v>96</v>
      </c>
      <c r="C92" s="13"/>
      <c r="D92" s="13"/>
      <c r="E92" s="14"/>
      <c r="F92" s="116"/>
      <c r="G92" s="116"/>
    </row>
    <row r="93">
      <c r="A93" s="127"/>
      <c r="E93" s="11"/>
      <c r="F93" s="116"/>
      <c r="G93" s="116"/>
    </row>
    <row r="94">
      <c r="A94" s="131" t="s">
        <v>64</v>
      </c>
      <c r="B94" s="132"/>
      <c r="C94" s="132"/>
      <c r="D94" s="132"/>
      <c r="E94" s="133"/>
      <c r="F94" s="116"/>
      <c r="G94" s="116"/>
    </row>
    <row r="95">
      <c r="A95" s="38" t="s">
        <v>106</v>
      </c>
      <c r="B95" s="120"/>
      <c r="C95" s="107">
        <v>3.0</v>
      </c>
      <c r="D95" s="107">
        <v>4.0</v>
      </c>
      <c r="E95" s="107" t="s">
        <v>26</v>
      </c>
      <c r="F95" s="116"/>
      <c r="G95" s="116"/>
    </row>
    <row r="96">
      <c r="A96" s="43">
        <v>1.0</v>
      </c>
      <c r="B96" s="109" t="s">
        <v>56</v>
      </c>
      <c r="E96" s="11"/>
      <c r="F96" s="116"/>
      <c r="G96" s="116"/>
    </row>
    <row r="97">
      <c r="A97" s="91" t="s">
        <v>42</v>
      </c>
      <c r="B97" s="130" t="s">
        <v>99</v>
      </c>
      <c r="C97" s="13"/>
      <c r="D97" s="13"/>
      <c r="E97" s="14"/>
      <c r="F97" s="116"/>
      <c r="G97" s="116"/>
    </row>
    <row r="98">
      <c r="A98" s="134"/>
      <c r="B98" s="26"/>
      <c r="C98" s="26"/>
      <c r="D98" s="26"/>
      <c r="E98" s="27"/>
      <c r="F98" s="116"/>
      <c r="G98" s="116"/>
    </row>
    <row r="99" hidden="1">
      <c r="A99" s="135" t="s">
        <v>101</v>
      </c>
      <c r="B99" s="136"/>
      <c r="C99" s="136"/>
      <c r="D99" s="136"/>
      <c r="E99" s="137"/>
      <c r="F99" s="19"/>
      <c r="G99" s="116"/>
    </row>
    <row r="100" hidden="1">
      <c r="A100" s="139" t="s">
        <v>104</v>
      </c>
      <c r="E100" s="11"/>
      <c r="F100" s="19"/>
      <c r="G100" s="116"/>
    </row>
    <row r="101" hidden="1">
      <c r="A101" s="141" t="s">
        <v>105</v>
      </c>
      <c r="B101" s="13"/>
      <c r="C101" s="13"/>
      <c r="D101" s="13"/>
      <c r="E101" s="14"/>
      <c r="F101" s="19"/>
      <c r="G101" s="116"/>
    </row>
    <row r="102" hidden="1">
      <c r="A102" s="38" t="s">
        <v>106</v>
      </c>
      <c r="B102" s="106"/>
      <c r="C102" s="107"/>
      <c r="D102" s="107"/>
      <c r="E102" s="107"/>
      <c r="F102" s="19"/>
      <c r="G102" s="116"/>
    </row>
    <row r="103" hidden="1">
      <c r="A103" s="43"/>
      <c r="B103" s="109"/>
      <c r="E103" s="11"/>
      <c r="F103" s="19"/>
      <c r="G103" s="116"/>
    </row>
    <row r="104" hidden="1">
      <c r="A104" s="144"/>
      <c r="B104" s="13"/>
      <c r="C104" s="13"/>
      <c r="D104" s="13"/>
      <c r="E104" s="14"/>
      <c r="F104" s="19"/>
      <c r="G104" s="116"/>
    </row>
    <row r="105" hidden="1">
      <c r="A105" s="113" t="s">
        <v>106</v>
      </c>
      <c r="B105" s="145"/>
      <c r="C105" s="107"/>
      <c r="D105" s="107"/>
      <c r="E105" s="107"/>
      <c r="F105" s="19"/>
      <c r="G105" s="116"/>
    </row>
    <row r="106" hidden="1">
      <c r="A106" s="43"/>
      <c r="B106" s="109"/>
      <c r="E106" s="11"/>
      <c r="F106" s="19"/>
      <c r="G106" s="116"/>
    </row>
    <row r="107" hidden="1">
      <c r="A107" s="144"/>
      <c r="B107" s="13"/>
      <c r="C107" s="13"/>
      <c r="D107" s="13"/>
      <c r="E107" s="14"/>
      <c r="F107" s="19"/>
      <c r="G107" s="116"/>
    </row>
    <row r="108" hidden="1">
      <c r="A108" s="113" t="s">
        <v>106</v>
      </c>
      <c r="B108" s="147"/>
      <c r="C108" s="107"/>
      <c r="D108" s="107"/>
      <c r="E108" s="107"/>
      <c r="F108" s="19"/>
      <c r="G108" s="116"/>
    </row>
    <row r="109" hidden="1">
      <c r="A109" s="43"/>
      <c r="B109" s="109"/>
      <c r="E109" s="11"/>
      <c r="F109" s="19"/>
      <c r="G109" s="116"/>
    </row>
    <row r="110" hidden="1">
      <c r="A110" s="144"/>
      <c r="B110" s="13"/>
      <c r="C110" s="13"/>
      <c r="D110" s="13"/>
      <c r="E110" s="14"/>
      <c r="F110" s="19"/>
      <c r="G110" s="116"/>
    </row>
    <row r="111" hidden="1">
      <c r="A111" s="148"/>
      <c r="B111" s="136"/>
      <c r="C111" s="136"/>
      <c r="D111" s="136"/>
      <c r="E111" s="137"/>
      <c r="F111" s="19"/>
      <c r="G111" s="116"/>
    </row>
    <row r="112">
      <c r="A112" s="149" t="s">
        <v>108</v>
      </c>
      <c r="C112" s="151">
        <f t="shared" ref="C112:D112" si="1">SUM(C11:C111)</f>
        <v>112</v>
      </c>
      <c r="D112" s="151">
        <f t="shared" si="1"/>
        <v>80</v>
      </c>
      <c r="E112" s="152"/>
      <c r="F112" s="6"/>
      <c r="G112" s="6"/>
    </row>
    <row r="113">
      <c r="A113" s="153"/>
      <c r="B113" s="136"/>
      <c r="C113" s="136"/>
      <c r="D113" s="136"/>
      <c r="E113" s="137"/>
      <c r="F113" s="154"/>
      <c r="G113" s="6"/>
    </row>
    <row r="114">
      <c r="A114" s="156" t="s">
        <v>112</v>
      </c>
      <c r="B114" s="13"/>
      <c r="C114" s="158" t="s">
        <v>116</v>
      </c>
      <c r="D114" s="13"/>
      <c r="E114" s="14"/>
      <c r="F114" s="154"/>
      <c r="G114" s="6"/>
    </row>
  </sheetData>
  <mergeCells count="86">
    <mergeCell ref="B58:E58"/>
    <mergeCell ref="B59:E59"/>
    <mergeCell ref="B61:E61"/>
    <mergeCell ref="B62:E62"/>
    <mergeCell ref="B64:E64"/>
    <mergeCell ref="B65:E65"/>
    <mergeCell ref="B67:E67"/>
    <mergeCell ref="B68:E68"/>
    <mergeCell ref="B70:E70"/>
    <mergeCell ref="B71:E71"/>
    <mergeCell ref="B73:E73"/>
    <mergeCell ref="B74:E74"/>
    <mergeCell ref="B76:E76"/>
    <mergeCell ref="B77:E77"/>
    <mergeCell ref="B88:E88"/>
    <mergeCell ref="B89:E89"/>
    <mergeCell ref="B91:E91"/>
    <mergeCell ref="B92:E92"/>
    <mergeCell ref="A93:E93"/>
    <mergeCell ref="A94:E94"/>
    <mergeCell ref="B96:E96"/>
    <mergeCell ref="B97:E97"/>
    <mergeCell ref="A98:E98"/>
    <mergeCell ref="A99:E99"/>
    <mergeCell ref="A100:E100"/>
    <mergeCell ref="A101:E101"/>
    <mergeCell ref="B103:E103"/>
    <mergeCell ref="A104:E104"/>
    <mergeCell ref="A114:B114"/>
    <mergeCell ref="C114:E114"/>
    <mergeCell ref="B106:E106"/>
    <mergeCell ref="A107:E107"/>
    <mergeCell ref="B109:E109"/>
    <mergeCell ref="A110:E110"/>
    <mergeCell ref="A111:E111"/>
    <mergeCell ref="A112:B112"/>
    <mergeCell ref="A113:E113"/>
    <mergeCell ref="A1:B1"/>
    <mergeCell ref="C1:E1"/>
    <mergeCell ref="A2:B2"/>
    <mergeCell ref="C2:E2"/>
    <mergeCell ref="A3:E3"/>
    <mergeCell ref="A5:E6"/>
    <mergeCell ref="A7:B7"/>
    <mergeCell ref="A8:E8"/>
    <mergeCell ref="A9:E9"/>
    <mergeCell ref="A10:E10"/>
    <mergeCell ref="B12:E12"/>
    <mergeCell ref="B13:E13"/>
    <mergeCell ref="B15:E15"/>
    <mergeCell ref="B16:E16"/>
    <mergeCell ref="B18:E18"/>
    <mergeCell ref="B19:E19"/>
    <mergeCell ref="B21:E21"/>
    <mergeCell ref="B22:E22"/>
    <mergeCell ref="B24:E24"/>
    <mergeCell ref="B25:E25"/>
    <mergeCell ref="B27:E27"/>
    <mergeCell ref="B28:E28"/>
    <mergeCell ref="B30:E30"/>
    <mergeCell ref="B31:E31"/>
    <mergeCell ref="B33:E33"/>
    <mergeCell ref="B34:E34"/>
    <mergeCell ref="B36:E36"/>
    <mergeCell ref="B37:E37"/>
    <mergeCell ref="B39:E39"/>
    <mergeCell ref="B40:E40"/>
    <mergeCell ref="B42:E42"/>
    <mergeCell ref="B43:E43"/>
    <mergeCell ref="B45:E45"/>
    <mergeCell ref="B46:E46"/>
    <mergeCell ref="A47:E47"/>
    <mergeCell ref="A48:E48"/>
    <mergeCell ref="A49:E49"/>
    <mergeCell ref="B51:E51"/>
    <mergeCell ref="A52:E52"/>
    <mergeCell ref="B54:E54"/>
    <mergeCell ref="A55:E55"/>
    <mergeCell ref="A56:E56"/>
    <mergeCell ref="B79:E79"/>
    <mergeCell ref="B80:E80"/>
    <mergeCell ref="B82:E82"/>
    <mergeCell ref="B83:E83"/>
    <mergeCell ref="A84:E84"/>
    <mergeCell ref="A85:E85"/>
    <mergeCell ref="A86:E86"/>
  </mergeCells>
  <hyperlinks>
    <hyperlink r:id="rId1" ref="A13"/>
    <hyperlink r:id="rId2" ref="A16"/>
    <hyperlink r:id="rId3" ref="A19"/>
    <hyperlink r:id="rId4" ref="A22"/>
    <hyperlink r:id="rId5" ref="A25"/>
    <hyperlink r:id="rId6" ref="A28"/>
    <hyperlink r:id="rId7" ref="A34"/>
    <hyperlink r:id="rId8" ref="A37"/>
    <hyperlink r:id="rId9" ref="A40"/>
    <hyperlink r:id="rId10" ref="A43"/>
    <hyperlink r:id="rId11" ref="A59"/>
    <hyperlink r:id="rId12" ref="A65"/>
    <hyperlink r:id="rId13" ref="A80"/>
    <hyperlink r:id="rId14" ref="A89"/>
    <hyperlink r:id="rId15" ref="A92"/>
    <hyperlink r:id="rId16" ref="A97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4.38"/>
    <col customWidth="1" min="2" max="2" width="16.5"/>
    <col customWidth="1" min="3" max="3" width="4.13"/>
    <col customWidth="1" min="4" max="4" width="4.5"/>
    <col customWidth="1" min="5" max="5" width="4.88"/>
    <col customWidth="1" min="6" max="6" width="6.25"/>
    <col customWidth="1" min="7" max="7" width="6.63"/>
  </cols>
  <sheetData>
    <row r="1">
      <c r="A1" s="2" t="s">
        <v>0</v>
      </c>
      <c r="B1" s="3"/>
      <c r="C1" s="4" t="str">
        <f>COUNTIF(E11:E109,"W")&amp;"-"&amp;COUNTIF(E11:E109,"L")&amp;"-"&amp;COUNTIF(E11:E109,"T")&amp;"-"&amp;COUNTIF(E11:E109,"OTL")</f>
        <v>6-13-3-1</v>
      </c>
      <c r="D1" s="3"/>
      <c r="E1" s="5"/>
      <c r="F1" s="6"/>
      <c r="G1" s="7"/>
    </row>
    <row r="2">
      <c r="A2" s="9" t="s">
        <v>1</v>
      </c>
      <c r="C2" s="10" t="str">
        <f>COUNTIF(G11:G96,"W")&amp;"-"&amp;COUNTIF(G11:G96,"L")&amp;"-"&amp;COUNTIF(G11:G96,"T")&amp;"-"&amp;COUNTIF(G11:G96,"OTL")</f>
        <v>1-6-1-1</v>
      </c>
      <c r="E2" s="11"/>
      <c r="F2" s="6"/>
      <c r="G2" s="6"/>
    </row>
    <row r="3">
      <c r="A3" s="12" t="s">
        <v>2</v>
      </c>
      <c r="B3" s="13"/>
      <c r="C3" s="13"/>
      <c r="D3" s="13"/>
      <c r="E3" s="14"/>
      <c r="F3" s="6"/>
      <c r="G3" s="6"/>
    </row>
    <row r="4">
      <c r="A4" s="16"/>
      <c r="B4" s="17"/>
      <c r="C4" s="16"/>
      <c r="D4" s="16"/>
      <c r="E4" s="18"/>
      <c r="F4" s="19" t="s">
        <v>3</v>
      </c>
      <c r="G4" s="20" t="s">
        <v>4</v>
      </c>
    </row>
    <row r="5">
      <c r="A5" s="21" t="s">
        <v>6</v>
      </c>
      <c r="B5" s="22"/>
      <c r="C5" s="22"/>
      <c r="D5" s="22"/>
      <c r="E5" s="23"/>
      <c r="F5" s="24"/>
      <c r="G5" s="6"/>
    </row>
    <row r="6">
      <c r="A6" s="25"/>
      <c r="B6" s="26"/>
      <c r="C6" s="26"/>
      <c r="D6" s="26"/>
      <c r="E6" s="27"/>
      <c r="F6" s="24"/>
      <c r="G6" s="6"/>
    </row>
    <row r="7">
      <c r="A7" s="29" t="s">
        <v>7</v>
      </c>
      <c r="C7" s="30" t="s">
        <v>8</v>
      </c>
      <c r="D7" s="30" t="s">
        <v>9</v>
      </c>
      <c r="E7" s="31" t="s">
        <v>10</v>
      </c>
      <c r="F7" s="6"/>
      <c r="G7" s="6"/>
    </row>
    <row r="8">
      <c r="A8" s="33" t="s">
        <v>11</v>
      </c>
      <c r="E8" s="11"/>
      <c r="F8" s="34"/>
      <c r="G8" s="34"/>
    </row>
    <row r="9">
      <c r="A9" s="35" t="s">
        <v>12</v>
      </c>
      <c r="E9" s="11"/>
      <c r="F9" s="34"/>
      <c r="G9" s="34"/>
    </row>
    <row r="10">
      <c r="A10" s="37"/>
      <c r="B10" s="22"/>
      <c r="C10" s="22"/>
      <c r="D10" s="22"/>
      <c r="E10" s="23"/>
      <c r="F10" s="34"/>
      <c r="G10" s="34"/>
    </row>
    <row r="11">
      <c r="A11" s="39" t="s">
        <v>13</v>
      </c>
      <c r="B11" s="49" t="s">
        <v>14</v>
      </c>
      <c r="C11" s="41">
        <v>4.0</v>
      </c>
      <c r="D11" s="41">
        <v>1.0</v>
      </c>
      <c r="E11" s="41" t="s">
        <v>19</v>
      </c>
      <c r="F11" s="34"/>
      <c r="G11" s="42"/>
    </row>
    <row r="12">
      <c r="A12" s="52">
        <v>22.0</v>
      </c>
      <c r="B12" s="54" t="s">
        <v>21</v>
      </c>
      <c r="E12" s="11"/>
      <c r="F12" s="34"/>
      <c r="G12" s="42"/>
    </row>
    <row r="13">
      <c r="A13" s="55"/>
      <c r="B13" s="46" t="s">
        <v>16</v>
      </c>
      <c r="C13" s="13"/>
      <c r="D13" s="13"/>
      <c r="E13" s="14"/>
      <c r="F13" s="34"/>
      <c r="G13" s="42"/>
    </row>
    <row r="14">
      <c r="A14" s="57" t="s">
        <v>13</v>
      </c>
      <c r="B14" s="65" t="s">
        <v>14</v>
      </c>
      <c r="C14" s="41">
        <v>2.0</v>
      </c>
      <c r="D14" s="41">
        <v>3.0</v>
      </c>
      <c r="E14" s="41" t="s">
        <v>26</v>
      </c>
      <c r="F14" s="34"/>
      <c r="G14" s="42"/>
    </row>
    <row r="15">
      <c r="A15" s="52">
        <v>27.0</v>
      </c>
      <c r="B15" s="54" t="s">
        <v>27</v>
      </c>
      <c r="E15" s="11"/>
      <c r="F15" s="50"/>
      <c r="G15" s="42"/>
    </row>
    <row r="16">
      <c r="A16" s="69"/>
      <c r="B16" s="46" t="s">
        <v>29</v>
      </c>
      <c r="C16" s="13"/>
      <c r="D16" s="13"/>
      <c r="E16" s="14"/>
      <c r="F16" s="50"/>
      <c r="G16" s="42"/>
    </row>
    <row r="17">
      <c r="A17" s="57" t="s">
        <v>13</v>
      </c>
      <c r="B17" s="65" t="s">
        <v>14</v>
      </c>
      <c r="C17" s="41">
        <v>0.0</v>
      </c>
      <c r="D17" s="41">
        <v>2.0</v>
      </c>
      <c r="E17" s="41" t="s">
        <v>26</v>
      </c>
      <c r="F17" s="42"/>
      <c r="G17" s="42" t="s">
        <v>26</v>
      </c>
    </row>
    <row r="18">
      <c r="A18" s="75">
        <v>29.0</v>
      </c>
      <c r="B18" s="44" t="s">
        <v>41</v>
      </c>
      <c r="E18" s="11"/>
      <c r="F18" s="50"/>
      <c r="G18" s="42"/>
    </row>
    <row r="19">
      <c r="A19" s="80" t="s">
        <v>42</v>
      </c>
      <c r="B19" s="46" t="s">
        <v>16</v>
      </c>
      <c r="C19" s="13"/>
      <c r="D19" s="13"/>
      <c r="E19" s="14"/>
      <c r="F19" s="58"/>
      <c r="G19" s="59"/>
    </row>
    <row r="20">
      <c r="A20" s="57" t="s">
        <v>17</v>
      </c>
      <c r="B20" s="72" t="s">
        <v>14</v>
      </c>
      <c r="C20" s="41">
        <v>4.0</v>
      </c>
      <c r="D20" s="41">
        <v>5.0</v>
      </c>
      <c r="E20" s="41" t="s">
        <v>48</v>
      </c>
      <c r="F20" s="50"/>
      <c r="G20" s="42" t="s">
        <v>48</v>
      </c>
    </row>
    <row r="21">
      <c r="A21" s="75">
        <v>4.0</v>
      </c>
      <c r="B21" s="60" t="s">
        <v>49</v>
      </c>
      <c r="E21" s="11"/>
      <c r="F21" s="50"/>
      <c r="G21" s="42"/>
    </row>
    <row r="22">
      <c r="A22" s="69"/>
      <c r="B22" s="46" t="s">
        <v>50</v>
      </c>
      <c r="C22" s="13"/>
      <c r="D22" s="13"/>
      <c r="E22" s="14"/>
      <c r="F22" s="50"/>
      <c r="G22" s="42"/>
    </row>
    <row r="23">
      <c r="A23" s="57" t="s">
        <v>17</v>
      </c>
      <c r="B23" s="65" t="s">
        <v>14</v>
      </c>
      <c r="C23" s="41">
        <v>1.0</v>
      </c>
      <c r="D23" s="41">
        <v>7.0</v>
      </c>
      <c r="E23" s="41" t="s">
        <v>26</v>
      </c>
      <c r="F23" s="50"/>
      <c r="G23" s="42"/>
    </row>
    <row r="24">
      <c r="A24" s="75">
        <v>6.0</v>
      </c>
      <c r="B24" s="68" t="s">
        <v>54</v>
      </c>
      <c r="E24" s="11"/>
      <c r="F24" s="50"/>
      <c r="G24" s="42"/>
    </row>
    <row r="25">
      <c r="A25" s="80" t="s">
        <v>42</v>
      </c>
      <c r="B25" s="46" t="s">
        <v>16</v>
      </c>
      <c r="C25" s="13"/>
      <c r="D25" s="13"/>
      <c r="E25" s="14"/>
      <c r="F25" s="58"/>
      <c r="G25" s="59"/>
    </row>
    <row r="26">
      <c r="A26" s="57" t="s">
        <v>17</v>
      </c>
      <c r="B26" s="65" t="s">
        <v>14</v>
      </c>
      <c r="C26" s="41">
        <v>0.0</v>
      </c>
      <c r="D26" s="41">
        <v>4.0</v>
      </c>
      <c r="E26" s="41" t="s">
        <v>26</v>
      </c>
      <c r="F26" s="42"/>
      <c r="G26" s="42"/>
    </row>
    <row r="27">
      <c r="A27" s="104">
        <v>13.0</v>
      </c>
      <c r="B27" s="54" t="s">
        <v>60</v>
      </c>
      <c r="E27" s="11"/>
      <c r="F27" s="50"/>
      <c r="G27" s="42"/>
    </row>
    <row r="28">
      <c r="A28" s="80" t="s">
        <v>42</v>
      </c>
      <c r="B28" s="46" t="s">
        <v>16</v>
      </c>
      <c r="C28" s="13"/>
      <c r="D28" s="13"/>
      <c r="E28" s="14"/>
      <c r="F28" s="58"/>
      <c r="G28" s="59"/>
    </row>
    <row r="29">
      <c r="A29" s="110" t="s">
        <v>17</v>
      </c>
      <c r="B29" s="64" t="s">
        <v>14</v>
      </c>
      <c r="C29" s="41">
        <v>8.0</v>
      </c>
      <c r="D29" s="66">
        <v>2.0</v>
      </c>
      <c r="E29" s="66" t="s">
        <v>19</v>
      </c>
      <c r="F29" s="42"/>
      <c r="G29" s="42"/>
    </row>
    <row r="30">
      <c r="A30" s="104">
        <v>19.0</v>
      </c>
      <c r="B30" s="54" t="s">
        <v>79</v>
      </c>
      <c r="E30" s="11"/>
      <c r="F30" s="42"/>
      <c r="G30" s="42"/>
    </row>
    <row r="31">
      <c r="A31" s="69"/>
      <c r="B31" s="46" t="s">
        <v>80</v>
      </c>
      <c r="C31" s="13"/>
      <c r="D31" s="13"/>
      <c r="E31" s="14"/>
      <c r="F31" s="42"/>
      <c r="G31" s="42"/>
    </row>
    <row r="32">
      <c r="A32" s="57" t="s">
        <v>17</v>
      </c>
      <c r="B32" s="72" t="s">
        <v>14</v>
      </c>
      <c r="C32" s="41">
        <v>2.0</v>
      </c>
      <c r="D32" s="41">
        <v>4.0</v>
      </c>
      <c r="E32" s="41" t="s">
        <v>26</v>
      </c>
      <c r="F32" s="42"/>
      <c r="G32" s="42"/>
    </row>
    <row r="33">
      <c r="A33" s="75">
        <v>20.0</v>
      </c>
      <c r="B33" s="68" t="s">
        <v>88</v>
      </c>
      <c r="E33" s="11"/>
      <c r="F33" s="50"/>
      <c r="G33" s="42"/>
    </row>
    <row r="34">
      <c r="A34" s="91" t="s">
        <v>42</v>
      </c>
      <c r="B34" s="46" t="s">
        <v>16</v>
      </c>
      <c r="C34" s="13"/>
      <c r="D34" s="13"/>
      <c r="E34" s="14"/>
      <c r="F34" s="58"/>
      <c r="G34" s="59"/>
    </row>
    <row r="35">
      <c r="A35" s="57" t="s">
        <v>17</v>
      </c>
      <c r="B35" s="65" t="s">
        <v>14</v>
      </c>
      <c r="C35" s="41">
        <v>3.0</v>
      </c>
      <c r="D35" s="41">
        <v>4.0</v>
      </c>
      <c r="E35" s="41" t="s">
        <v>26</v>
      </c>
      <c r="F35" s="42"/>
      <c r="G35" s="42" t="s">
        <v>26</v>
      </c>
    </row>
    <row r="36">
      <c r="A36" s="104">
        <v>25.0</v>
      </c>
      <c r="B36" s="44" t="s">
        <v>97</v>
      </c>
      <c r="E36" s="11"/>
      <c r="F36" s="50"/>
      <c r="G36" s="42"/>
    </row>
    <row r="37">
      <c r="A37" s="69"/>
      <c r="B37" s="46" t="s">
        <v>64</v>
      </c>
      <c r="C37" s="13"/>
      <c r="D37" s="13"/>
      <c r="E37" s="14"/>
      <c r="F37" s="50"/>
      <c r="G37" s="42"/>
    </row>
    <row r="38">
      <c r="A38" s="57" t="s">
        <v>17</v>
      </c>
      <c r="B38" s="65" t="s">
        <v>14</v>
      </c>
      <c r="C38" s="41">
        <v>6.0</v>
      </c>
      <c r="D38" s="41">
        <v>5.0</v>
      </c>
      <c r="E38" s="41" t="s">
        <v>19</v>
      </c>
      <c r="F38" s="42" t="s">
        <v>40</v>
      </c>
      <c r="G38" s="42"/>
    </row>
    <row r="39">
      <c r="A39" s="75">
        <v>27.0</v>
      </c>
      <c r="B39" s="54" t="s">
        <v>103</v>
      </c>
      <c r="E39" s="11"/>
      <c r="F39" s="50"/>
      <c r="G39" s="42"/>
    </row>
    <row r="40">
      <c r="A40" s="91" t="s">
        <v>42</v>
      </c>
      <c r="B40" s="46" t="s">
        <v>16</v>
      </c>
      <c r="C40" s="13"/>
      <c r="D40" s="13"/>
      <c r="E40" s="14"/>
      <c r="F40" s="58"/>
      <c r="G40" s="59"/>
    </row>
    <row r="41">
      <c r="A41" s="57" t="s">
        <v>34</v>
      </c>
      <c r="B41" s="65" t="s">
        <v>14</v>
      </c>
      <c r="C41" s="41">
        <v>4.0</v>
      </c>
      <c r="D41" s="41">
        <v>6.0</v>
      </c>
      <c r="E41" s="41" t="s">
        <v>26</v>
      </c>
      <c r="F41" s="42"/>
      <c r="G41" s="42" t="s">
        <v>26</v>
      </c>
    </row>
    <row r="42">
      <c r="A42" s="75">
        <v>3.0</v>
      </c>
      <c r="B42" s="44" t="s">
        <v>56</v>
      </c>
      <c r="E42" s="11"/>
      <c r="F42" s="42"/>
      <c r="G42" s="42"/>
    </row>
    <row r="43">
      <c r="A43" s="150" t="s">
        <v>42</v>
      </c>
      <c r="B43" s="46" t="s">
        <v>16</v>
      </c>
      <c r="C43" s="13"/>
      <c r="D43" s="13"/>
      <c r="E43" s="14"/>
      <c r="F43" s="42"/>
      <c r="G43" s="42"/>
    </row>
    <row r="44">
      <c r="A44" s="57" t="s">
        <v>34</v>
      </c>
      <c r="B44" s="65" t="s">
        <v>14</v>
      </c>
      <c r="C44" s="41">
        <v>8.0</v>
      </c>
      <c r="D44" s="41">
        <v>4.0</v>
      </c>
      <c r="E44" s="41" t="s">
        <v>19</v>
      </c>
      <c r="F44" s="42"/>
      <c r="G44" s="42" t="s">
        <v>19</v>
      </c>
    </row>
    <row r="45">
      <c r="A45" s="75">
        <v>8.0</v>
      </c>
      <c r="B45" s="76" t="s">
        <v>98</v>
      </c>
      <c r="E45" s="11"/>
      <c r="F45" s="42"/>
      <c r="G45" s="42"/>
    </row>
    <row r="46">
      <c r="A46" s="69"/>
      <c r="B46" s="46" t="s">
        <v>24</v>
      </c>
      <c r="C46" s="13"/>
      <c r="D46" s="13"/>
      <c r="E46" s="14"/>
      <c r="F46" s="42"/>
      <c r="G46" s="42"/>
    </row>
    <row r="47">
      <c r="A47" s="57" t="s">
        <v>34</v>
      </c>
      <c r="B47" s="65" t="s">
        <v>14</v>
      </c>
      <c r="C47" s="41">
        <v>3.0</v>
      </c>
      <c r="D47" s="41">
        <v>3.0</v>
      </c>
      <c r="E47" s="41" t="s">
        <v>73</v>
      </c>
      <c r="F47" s="42"/>
      <c r="G47" s="42" t="s">
        <v>73</v>
      </c>
    </row>
    <row r="48">
      <c r="A48" s="75">
        <v>17.0</v>
      </c>
      <c r="B48" s="76" t="s">
        <v>117</v>
      </c>
      <c r="E48" s="11"/>
      <c r="F48" s="42"/>
      <c r="G48" s="42"/>
    </row>
    <row r="49">
      <c r="A49" s="69"/>
      <c r="B49" s="46" t="s">
        <v>119</v>
      </c>
      <c r="C49" s="13"/>
      <c r="D49" s="13"/>
      <c r="E49" s="14"/>
      <c r="F49" s="42"/>
      <c r="G49" s="42"/>
    </row>
    <row r="50">
      <c r="A50" s="155"/>
      <c r="E50" s="11"/>
      <c r="F50" s="50"/>
      <c r="G50" s="42"/>
    </row>
    <row r="51">
      <c r="A51" s="157" t="s">
        <v>114</v>
      </c>
      <c r="B51" s="132"/>
      <c r="C51" s="132"/>
      <c r="D51" s="132"/>
      <c r="E51" s="133"/>
      <c r="F51" s="50"/>
      <c r="G51" s="42"/>
    </row>
    <row r="52">
      <c r="A52" s="159" t="s">
        <v>121</v>
      </c>
      <c r="E52" s="11"/>
      <c r="F52" s="50"/>
      <c r="G52" s="42"/>
    </row>
    <row r="53">
      <c r="A53" s="160" t="s">
        <v>34</v>
      </c>
      <c r="B53" s="161" t="s">
        <v>14</v>
      </c>
      <c r="C53" s="90">
        <v>2.0</v>
      </c>
      <c r="D53" s="90">
        <v>2.0</v>
      </c>
      <c r="E53" s="90" t="s">
        <v>73</v>
      </c>
      <c r="F53" s="50"/>
      <c r="G53" s="42"/>
    </row>
    <row r="54">
      <c r="A54" s="162">
        <v>22.0</v>
      </c>
      <c r="B54" s="95" t="s">
        <v>126</v>
      </c>
      <c r="E54" s="11"/>
      <c r="F54" s="42"/>
      <c r="G54" s="42"/>
    </row>
    <row r="55">
      <c r="A55" s="164"/>
      <c r="B55" s="13"/>
      <c r="C55" s="13"/>
      <c r="D55" s="13"/>
      <c r="E55" s="14"/>
      <c r="F55" s="42"/>
      <c r="G55" s="42"/>
    </row>
    <row r="56">
      <c r="A56" s="160" t="s">
        <v>34</v>
      </c>
      <c r="B56" s="161" t="s">
        <v>14</v>
      </c>
      <c r="C56" s="90">
        <v>2.0</v>
      </c>
      <c r="D56" s="90">
        <v>2.0</v>
      </c>
      <c r="E56" s="90" t="s">
        <v>73</v>
      </c>
      <c r="F56" s="42"/>
      <c r="G56" s="42"/>
    </row>
    <row r="57">
      <c r="A57" s="162">
        <v>23.0</v>
      </c>
      <c r="B57" s="95" t="s">
        <v>129</v>
      </c>
      <c r="E57" s="11"/>
      <c r="F57" s="42"/>
      <c r="G57" s="42"/>
    </row>
    <row r="58">
      <c r="A58" s="164"/>
      <c r="B58" s="13"/>
      <c r="C58" s="13"/>
      <c r="D58" s="13"/>
      <c r="E58" s="14"/>
      <c r="F58" s="42"/>
      <c r="G58" s="42"/>
    </row>
    <row r="59">
      <c r="A59" s="165" t="s">
        <v>34</v>
      </c>
      <c r="B59" s="99" t="s">
        <v>14</v>
      </c>
      <c r="C59" s="90">
        <v>2.0</v>
      </c>
      <c r="D59" s="90">
        <v>10.0</v>
      </c>
      <c r="E59" s="90" t="s">
        <v>26</v>
      </c>
      <c r="F59" s="34"/>
      <c r="G59" s="42"/>
    </row>
    <row r="60">
      <c r="A60" s="162">
        <v>24.0</v>
      </c>
      <c r="B60" s="95" t="s">
        <v>130</v>
      </c>
      <c r="E60" s="11"/>
      <c r="F60" s="34"/>
      <c r="G60" s="42"/>
    </row>
    <row r="61">
      <c r="A61" s="164"/>
      <c r="B61" s="13"/>
      <c r="C61" s="13"/>
      <c r="D61" s="13"/>
      <c r="E61" s="14"/>
      <c r="F61" s="34"/>
      <c r="G61" s="42"/>
    </row>
    <row r="62">
      <c r="A62" s="167"/>
      <c r="E62" s="105"/>
      <c r="F62" s="34"/>
      <c r="G62" s="42"/>
    </row>
    <row r="63">
      <c r="A63" s="168" t="s">
        <v>61</v>
      </c>
      <c r="B63" s="169" t="s">
        <v>14</v>
      </c>
      <c r="C63" s="107">
        <v>5.0</v>
      </c>
      <c r="D63" s="107">
        <v>9.0</v>
      </c>
      <c r="E63" s="107" t="s">
        <v>26</v>
      </c>
      <c r="F63" s="34"/>
      <c r="G63" s="42" t="s">
        <v>26</v>
      </c>
    </row>
    <row r="64">
      <c r="A64" s="170">
        <v>6.0</v>
      </c>
      <c r="B64" s="109" t="s">
        <v>66</v>
      </c>
      <c r="E64" s="11"/>
      <c r="F64" s="34"/>
      <c r="G64" s="42"/>
    </row>
    <row r="65">
      <c r="A65" s="171"/>
      <c r="B65" s="46" t="s">
        <v>16</v>
      </c>
      <c r="C65" s="13"/>
      <c r="D65" s="13"/>
      <c r="E65" s="14"/>
      <c r="F65" s="34"/>
      <c r="G65" s="42"/>
    </row>
    <row r="66">
      <c r="A66" s="168" t="s">
        <v>61</v>
      </c>
      <c r="B66" s="169" t="s">
        <v>14</v>
      </c>
      <c r="C66" s="107">
        <v>2.0</v>
      </c>
      <c r="D66" s="107">
        <v>3.0</v>
      </c>
      <c r="E66" s="107" t="s">
        <v>26</v>
      </c>
      <c r="F66" s="42"/>
      <c r="G66" s="42"/>
    </row>
    <row r="67">
      <c r="A67" s="170">
        <v>8.0</v>
      </c>
      <c r="B67" s="172" t="s">
        <v>133</v>
      </c>
      <c r="E67" s="11"/>
      <c r="F67" s="34"/>
      <c r="G67" s="42"/>
    </row>
    <row r="68">
      <c r="A68" s="171"/>
      <c r="B68" s="53" t="s">
        <v>91</v>
      </c>
      <c r="C68" s="13"/>
      <c r="D68" s="13"/>
      <c r="E68" s="14"/>
      <c r="F68" s="34"/>
      <c r="G68" s="42"/>
    </row>
    <row r="69">
      <c r="A69" s="168" t="s">
        <v>68</v>
      </c>
      <c r="B69" s="169" t="s">
        <v>14</v>
      </c>
      <c r="C69" s="107">
        <v>3.0</v>
      </c>
      <c r="D69" s="107">
        <v>5.0</v>
      </c>
      <c r="E69" s="107" t="s">
        <v>26</v>
      </c>
      <c r="F69" s="42"/>
      <c r="G69" s="42"/>
    </row>
    <row r="70">
      <c r="A70" s="170">
        <v>26.0</v>
      </c>
      <c r="B70" s="108" t="s">
        <v>135</v>
      </c>
      <c r="E70" s="11"/>
      <c r="F70" s="34"/>
      <c r="G70" s="42"/>
    </row>
    <row r="71">
      <c r="A71" s="171"/>
      <c r="B71" s="53" t="s">
        <v>136</v>
      </c>
      <c r="C71" s="13"/>
      <c r="D71" s="13"/>
      <c r="E71" s="14"/>
      <c r="F71" s="34"/>
      <c r="G71" s="42"/>
    </row>
    <row r="72">
      <c r="A72" s="168" t="s">
        <v>68</v>
      </c>
      <c r="B72" s="174" t="s">
        <v>14</v>
      </c>
      <c r="C72" s="107">
        <v>4.0</v>
      </c>
      <c r="D72" s="107">
        <v>6.0</v>
      </c>
      <c r="E72" s="107" t="s">
        <v>26</v>
      </c>
      <c r="F72" s="34"/>
      <c r="G72" s="42" t="s">
        <v>26</v>
      </c>
    </row>
    <row r="73">
      <c r="A73" s="170">
        <v>31.0</v>
      </c>
      <c r="B73" s="109" t="s">
        <v>138</v>
      </c>
      <c r="E73" s="11"/>
      <c r="F73" s="34"/>
      <c r="G73" s="42"/>
    </row>
    <row r="74">
      <c r="A74" s="171"/>
      <c r="B74" s="46" t="s">
        <v>16</v>
      </c>
      <c r="C74" s="13"/>
      <c r="D74" s="13"/>
      <c r="E74" s="14"/>
      <c r="F74" s="34"/>
      <c r="G74" s="42"/>
    </row>
    <row r="75">
      <c r="A75" s="168" t="s">
        <v>74</v>
      </c>
      <c r="B75" s="169" t="s">
        <v>14</v>
      </c>
      <c r="C75" s="107">
        <v>8.0</v>
      </c>
      <c r="D75" s="107">
        <v>3.0</v>
      </c>
      <c r="E75" s="107" t="s">
        <v>19</v>
      </c>
      <c r="F75" s="42"/>
      <c r="G75" s="42"/>
    </row>
    <row r="76">
      <c r="A76" s="43">
        <v>1.0</v>
      </c>
      <c r="B76" s="175" t="s">
        <v>139</v>
      </c>
      <c r="E76" s="11"/>
      <c r="F76" s="42"/>
      <c r="G76" s="42"/>
    </row>
    <row r="77">
      <c r="A77" s="171"/>
      <c r="B77" s="53" t="s">
        <v>140</v>
      </c>
      <c r="C77" s="13"/>
      <c r="D77" s="13"/>
      <c r="E77" s="14"/>
      <c r="F77" s="42"/>
      <c r="G77" s="42"/>
    </row>
    <row r="78">
      <c r="A78" s="168" t="s">
        <v>74</v>
      </c>
      <c r="B78" s="117" t="s">
        <v>141</v>
      </c>
      <c r="C78" s="107"/>
      <c r="D78" s="107"/>
      <c r="E78" s="107"/>
      <c r="F78" s="6"/>
      <c r="G78" s="116"/>
    </row>
    <row r="79">
      <c r="A79" s="43">
        <v>8.0</v>
      </c>
      <c r="B79" s="175" t="s">
        <v>109</v>
      </c>
      <c r="E79" s="11"/>
      <c r="F79" s="6"/>
      <c r="G79" s="116"/>
    </row>
    <row r="80">
      <c r="A80" s="176"/>
      <c r="B80" s="46" t="s">
        <v>72</v>
      </c>
      <c r="C80" s="13"/>
      <c r="D80" s="13"/>
      <c r="E80" s="14"/>
      <c r="F80" s="6"/>
      <c r="G80" s="116"/>
    </row>
    <row r="81">
      <c r="A81" s="168" t="s">
        <v>74</v>
      </c>
      <c r="B81" s="169" t="s">
        <v>14</v>
      </c>
      <c r="C81" s="107">
        <v>6.0</v>
      </c>
      <c r="D81" s="107">
        <v>5.0</v>
      </c>
      <c r="E81" s="107" t="s">
        <v>19</v>
      </c>
      <c r="F81" s="6"/>
      <c r="G81" s="116"/>
    </row>
    <row r="82">
      <c r="A82" s="43">
        <v>15.0</v>
      </c>
      <c r="B82" s="112" t="s">
        <v>144</v>
      </c>
      <c r="E82" s="11"/>
      <c r="F82" s="6"/>
      <c r="G82" s="116"/>
    </row>
    <row r="83">
      <c r="A83" s="176"/>
      <c r="B83" s="46" t="s">
        <v>16</v>
      </c>
      <c r="C83" s="13"/>
      <c r="D83" s="13"/>
      <c r="E83" s="14"/>
      <c r="F83" s="6"/>
      <c r="G83" s="116"/>
    </row>
    <row r="84">
      <c r="A84" s="178"/>
      <c r="B84" s="22"/>
      <c r="C84" s="22"/>
      <c r="D84" s="22"/>
      <c r="E84" s="23"/>
      <c r="F84" s="6"/>
      <c r="G84" s="6"/>
    </row>
    <row r="85">
      <c r="A85" s="123" t="s">
        <v>145</v>
      </c>
      <c r="B85" s="124"/>
      <c r="C85" s="124"/>
      <c r="D85" s="124"/>
      <c r="E85" s="125"/>
      <c r="F85" s="126"/>
      <c r="G85" s="34"/>
    </row>
    <row r="86">
      <c r="A86" s="127" t="s">
        <v>107</v>
      </c>
      <c r="E86" s="11"/>
      <c r="F86" s="42"/>
      <c r="G86" s="42"/>
    </row>
    <row r="87">
      <c r="A87" s="168" t="s">
        <v>74</v>
      </c>
      <c r="B87" s="169" t="s">
        <v>14</v>
      </c>
      <c r="C87" s="128">
        <v>3.0</v>
      </c>
      <c r="D87" s="128">
        <v>6.0</v>
      </c>
      <c r="E87" s="128" t="s">
        <v>26</v>
      </c>
      <c r="F87" s="42"/>
      <c r="G87" s="42" t="s">
        <v>26</v>
      </c>
    </row>
    <row r="88">
      <c r="A88" s="170">
        <v>21.0</v>
      </c>
      <c r="B88" s="109" t="s">
        <v>138</v>
      </c>
      <c r="E88" s="11"/>
      <c r="F88" s="116"/>
      <c r="G88" s="116"/>
    </row>
    <row r="89">
      <c r="A89" s="180" t="s">
        <v>95</v>
      </c>
      <c r="B89" s="13"/>
      <c r="C89" s="13"/>
      <c r="D89" s="13"/>
      <c r="E89" s="14"/>
      <c r="F89" s="116"/>
      <c r="G89" s="116"/>
    </row>
    <row r="90" hidden="1">
      <c r="A90" s="168" t="s">
        <v>74</v>
      </c>
      <c r="B90" s="120"/>
      <c r="C90" s="107"/>
      <c r="D90" s="107"/>
      <c r="E90" s="107"/>
      <c r="F90" s="116"/>
      <c r="G90" s="116"/>
    </row>
    <row r="91" hidden="1">
      <c r="A91" s="170">
        <v>22.0</v>
      </c>
      <c r="B91" s="109" t="s">
        <v>92</v>
      </c>
      <c r="E91" s="11"/>
      <c r="F91" s="116"/>
      <c r="G91" s="116"/>
    </row>
    <row r="92" hidden="1">
      <c r="A92" s="180" t="s">
        <v>96</v>
      </c>
      <c r="B92" s="13"/>
      <c r="C92" s="13"/>
      <c r="D92" s="13"/>
      <c r="E92" s="14"/>
      <c r="F92" s="116"/>
      <c r="G92" s="116"/>
    </row>
    <row r="93" hidden="1">
      <c r="A93" s="168" t="s">
        <v>74</v>
      </c>
      <c r="B93" s="120"/>
      <c r="C93" s="107"/>
      <c r="D93" s="107"/>
      <c r="E93" s="107"/>
      <c r="F93" s="116"/>
      <c r="G93" s="116"/>
    </row>
    <row r="94" hidden="1">
      <c r="A94" s="170">
        <v>23.0</v>
      </c>
      <c r="B94" s="109" t="s">
        <v>92</v>
      </c>
      <c r="E94" s="11"/>
      <c r="F94" s="116"/>
      <c r="G94" s="116"/>
    </row>
    <row r="95" hidden="1">
      <c r="A95" s="180" t="s">
        <v>99</v>
      </c>
      <c r="B95" s="13"/>
      <c r="C95" s="13"/>
      <c r="D95" s="13"/>
      <c r="E95" s="14"/>
      <c r="F95" s="116"/>
      <c r="G95" s="116"/>
    </row>
    <row r="96">
      <c r="A96" s="184"/>
      <c r="B96" s="26"/>
      <c r="C96" s="26"/>
      <c r="D96" s="26"/>
      <c r="E96" s="27"/>
      <c r="F96" s="116"/>
      <c r="G96" s="116"/>
    </row>
    <row r="97">
      <c r="A97" s="135" t="s">
        <v>101</v>
      </c>
      <c r="B97" s="136"/>
      <c r="C97" s="136"/>
      <c r="D97" s="136"/>
      <c r="E97" s="137"/>
      <c r="F97" s="19"/>
      <c r="G97" s="116"/>
    </row>
    <row r="98">
      <c r="A98" s="139" t="s">
        <v>104</v>
      </c>
      <c r="E98" s="11"/>
      <c r="F98" s="19"/>
      <c r="G98" s="116"/>
    </row>
    <row r="99">
      <c r="A99" s="141" t="s">
        <v>105</v>
      </c>
      <c r="B99" s="13"/>
      <c r="C99" s="13"/>
      <c r="D99" s="13"/>
      <c r="E99" s="14"/>
      <c r="F99" s="19"/>
      <c r="G99" s="116"/>
    </row>
    <row r="100" hidden="1">
      <c r="A100" s="168" t="s">
        <v>106</v>
      </c>
      <c r="B100" s="106"/>
      <c r="C100" s="107"/>
      <c r="D100" s="107"/>
      <c r="E100" s="107"/>
      <c r="F100" s="19"/>
      <c r="G100" s="116"/>
    </row>
    <row r="101" hidden="1">
      <c r="A101" s="170"/>
      <c r="B101" s="109"/>
      <c r="E101" s="11"/>
      <c r="F101" s="19"/>
      <c r="G101" s="116"/>
    </row>
    <row r="102" hidden="1">
      <c r="A102" s="180"/>
      <c r="B102" s="13"/>
      <c r="C102" s="13"/>
      <c r="D102" s="13"/>
      <c r="E102" s="14"/>
      <c r="F102" s="19"/>
      <c r="G102" s="116"/>
    </row>
    <row r="103" hidden="1">
      <c r="A103" s="185" t="s">
        <v>106</v>
      </c>
      <c r="B103" s="145"/>
      <c r="C103" s="107"/>
      <c r="D103" s="107"/>
      <c r="E103" s="107"/>
      <c r="F103" s="19"/>
      <c r="G103" s="116"/>
    </row>
    <row r="104" hidden="1">
      <c r="A104" s="170"/>
      <c r="B104" s="109"/>
      <c r="E104" s="11"/>
      <c r="F104" s="19"/>
      <c r="G104" s="116"/>
    </row>
    <row r="105" hidden="1">
      <c r="A105" s="180"/>
      <c r="B105" s="13"/>
      <c r="C105" s="13"/>
      <c r="D105" s="13"/>
      <c r="E105" s="14"/>
      <c r="F105" s="19"/>
      <c r="G105" s="116"/>
    </row>
    <row r="106" hidden="1">
      <c r="A106" s="185" t="s">
        <v>106</v>
      </c>
      <c r="B106" s="147"/>
      <c r="C106" s="107"/>
      <c r="D106" s="107"/>
      <c r="E106" s="107"/>
      <c r="F106" s="19"/>
      <c r="G106" s="116"/>
    </row>
    <row r="107" hidden="1">
      <c r="A107" s="170"/>
      <c r="B107" s="109"/>
      <c r="E107" s="11"/>
      <c r="F107" s="19"/>
      <c r="G107" s="116"/>
    </row>
    <row r="108" hidden="1">
      <c r="A108" s="180"/>
      <c r="B108" s="13"/>
      <c r="C108" s="13"/>
      <c r="D108" s="13"/>
      <c r="E108" s="14"/>
      <c r="F108" s="19"/>
      <c r="G108" s="116"/>
    </row>
    <row r="109">
      <c r="A109" s="187"/>
      <c r="B109" s="136"/>
      <c r="C109" s="136"/>
      <c r="D109" s="136"/>
      <c r="E109" s="137"/>
      <c r="F109" s="19"/>
      <c r="G109" s="116"/>
    </row>
    <row r="110">
      <c r="A110" s="149" t="s">
        <v>108</v>
      </c>
      <c r="C110" s="151">
        <f t="shared" ref="C110:D110" si="1">SUM(C11:C109)</f>
        <v>82</v>
      </c>
      <c r="D110" s="151">
        <f t="shared" si="1"/>
        <v>101</v>
      </c>
      <c r="E110" s="152"/>
      <c r="F110" s="6"/>
      <c r="G110" s="6"/>
    </row>
    <row r="111">
      <c r="A111" s="153" t="s">
        <v>153</v>
      </c>
      <c r="B111" s="136"/>
      <c r="C111" s="136"/>
      <c r="D111" s="136"/>
      <c r="E111" s="137"/>
      <c r="F111" s="154"/>
      <c r="G111" s="6"/>
    </row>
    <row r="112">
      <c r="A112" s="156" t="s">
        <v>112</v>
      </c>
      <c r="B112" s="13"/>
      <c r="C112" s="158" t="s">
        <v>116</v>
      </c>
      <c r="D112" s="13"/>
      <c r="E112" s="14"/>
      <c r="F112" s="154"/>
      <c r="G112" s="6"/>
    </row>
  </sheetData>
  <mergeCells count="84">
    <mergeCell ref="B68:E68"/>
    <mergeCell ref="B70:E70"/>
    <mergeCell ref="B71:E71"/>
    <mergeCell ref="B73:E73"/>
    <mergeCell ref="B74:E74"/>
    <mergeCell ref="B76:E76"/>
    <mergeCell ref="B77:E77"/>
    <mergeCell ref="B79:E79"/>
    <mergeCell ref="B80:E80"/>
    <mergeCell ref="B82:E82"/>
    <mergeCell ref="B83:E83"/>
    <mergeCell ref="A84:E84"/>
    <mergeCell ref="A85:E85"/>
    <mergeCell ref="A86:E86"/>
    <mergeCell ref="B88:E88"/>
    <mergeCell ref="A89:E89"/>
    <mergeCell ref="B91:E91"/>
    <mergeCell ref="A92:E92"/>
    <mergeCell ref="B94:E94"/>
    <mergeCell ref="A95:E95"/>
    <mergeCell ref="A96:E96"/>
    <mergeCell ref="B107:E107"/>
    <mergeCell ref="A108:E108"/>
    <mergeCell ref="A109:E109"/>
    <mergeCell ref="A110:B110"/>
    <mergeCell ref="A111:E111"/>
    <mergeCell ref="A112:B112"/>
    <mergeCell ref="C112:E112"/>
    <mergeCell ref="A97:E97"/>
    <mergeCell ref="A98:E98"/>
    <mergeCell ref="A99:E99"/>
    <mergeCell ref="B101:E101"/>
    <mergeCell ref="A102:E102"/>
    <mergeCell ref="B104:E104"/>
    <mergeCell ref="A105:E105"/>
    <mergeCell ref="A1:B1"/>
    <mergeCell ref="C1:E1"/>
    <mergeCell ref="A2:B2"/>
    <mergeCell ref="C2:E2"/>
    <mergeCell ref="A3:E3"/>
    <mergeCell ref="A5:E6"/>
    <mergeCell ref="A7:B7"/>
    <mergeCell ref="A8:E8"/>
    <mergeCell ref="A9:E9"/>
    <mergeCell ref="A10:E10"/>
    <mergeCell ref="B12:E12"/>
    <mergeCell ref="B13:E13"/>
    <mergeCell ref="B15:E15"/>
    <mergeCell ref="B16:E16"/>
    <mergeCell ref="B18:E18"/>
    <mergeCell ref="B19:E19"/>
    <mergeCell ref="B21:E21"/>
    <mergeCell ref="B22:E22"/>
    <mergeCell ref="B24:E24"/>
    <mergeCell ref="B25:E25"/>
    <mergeCell ref="B27:E27"/>
    <mergeCell ref="B28:E28"/>
    <mergeCell ref="B30:E30"/>
    <mergeCell ref="B31:E31"/>
    <mergeCell ref="B33:E33"/>
    <mergeCell ref="B34:E34"/>
    <mergeCell ref="B36:E36"/>
    <mergeCell ref="B37:E37"/>
    <mergeCell ref="B39:E39"/>
    <mergeCell ref="B40:E40"/>
    <mergeCell ref="B42:E42"/>
    <mergeCell ref="B43:E43"/>
    <mergeCell ref="B45:E45"/>
    <mergeCell ref="B46:E46"/>
    <mergeCell ref="B48:E48"/>
    <mergeCell ref="B49:E49"/>
    <mergeCell ref="A50:E50"/>
    <mergeCell ref="A51:E51"/>
    <mergeCell ref="A52:E52"/>
    <mergeCell ref="B54:E54"/>
    <mergeCell ref="A55:E55"/>
    <mergeCell ref="B57:E57"/>
    <mergeCell ref="A58:E58"/>
    <mergeCell ref="B60:E60"/>
    <mergeCell ref="A61:E61"/>
    <mergeCell ref="A62:E62"/>
    <mergeCell ref="B64:E64"/>
    <mergeCell ref="B65:E65"/>
    <mergeCell ref="B67:E67"/>
  </mergeCells>
  <hyperlinks>
    <hyperlink r:id="rId1" ref="B11"/>
    <hyperlink r:id="rId2" ref="B14"/>
    <hyperlink r:id="rId3" ref="B17"/>
    <hyperlink r:id="rId4" ref="A19"/>
    <hyperlink r:id="rId5" ref="B20"/>
    <hyperlink r:id="rId6" ref="B23"/>
    <hyperlink r:id="rId7" ref="A25"/>
    <hyperlink r:id="rId8" ref="B26"/>
    <hyperlink r:id="rId9" ref="A28"/>
    <hyperlink r:id="rId10" ref="B29"/>
    <hyperlink r:id="rId11" ref="B32"/>
    <hyperlink r:id="rId12" ref="A34"/>
    <hyperlink r:id="rId13" ref="B35"/>
    <hyperlink r:id="rId14" ref="B38"/>
    <hyperlink r:id="rId15" ref="A40"/>
    <hyperlink r:id="rId16" ref="B41"/>
    <hyperlink r:id="rId17" ref="A43"/>
    <hyperlink r:id="rId18" ref="B44"/>
    <hyperlink r:id="rId19" ref="B47"/>
    <hyperlink r:id="rId20" ref="B53"/>
    <hyperlink r:id="rId21" ref="B56"/>
    <hyperlink r:id="rId22" ref="B59"/>
    <hyperlink r:id="rId23" ref="B63"/>
    <hyperlink r:id="rId24" ref="B66"/>
    <hyperlink r:id="rId25" ref="B69"/>
    <hyperlink r:id="rId26" ref="B72"/>
    <hyperlink r:id="rId27" ref="B75"/>
    <hyperlink r:id="rId28" ref="B81"/>
    <hyperlink r:id="rId29" ref="B87"/>
  </hyperlinks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4.38"/>
    <col customWidth="1" min="2" max="2" width="16.5"/>
    <col customWidth="1" min="3" max="3" width="4.13"/>
    <col customWidth="1" min="4" max="4" width="4.5"/>
    <col customWidth="1" min="5" max="5" width="4.88"/>
    <col customWidth="1" min="6" max="6" width="6.25"/>
    <col customWidth="1" min="7" max="7" width="6.63"/>
  </cols>
  <sheetData>
    <row r="1">
      <c r="A1" s="2" t="s">
        <v>0</v>
      </c>
      <c r="B1" s="3"/>
      <c r="C1" s="4" t="str">
        <f>COUNTIF(E11:E115,"W")&amp;"-"&amp;COUNTIF(E11:E115,"L")&amp;"-"&amp;COUNTIF(E11:E115,"T")&amp;"-"&amp;COUNTIF(E11:E115,"OTL")</f>
        <v>11-14-1-4</v>
      </c>
      <c r="D1" s="3"/>
      <c r="E1" s="5"/>
      <c r="F1" s="6"/>
      <c r="G1" s="7"/>
    </row>
    <row r="2">
      <c r="A2" s="9" t="s">
        <v>1</v>
      </c>
      <c r="C2" s="10" t="str">
        <f>COUNTIF(G11:G102,"W")&amp;"-"&amp;COUNTIF(G11:G102,"L")&amp;"-"&amp;COUNTIF(G11:G102,"T")&amp;"-"&amp;COUNTIF(G11:G102,"OTL")</f>
        <v>3-4-1-2</v>
      </c>
      <c r="E2" s="11"/>
      <c r="F2" s="6"/>
      <c r="G2" s="6"/>
    </row>
    <row r="3">
      <c r="A3" s="12" t="s">
        <v>2</v>
      </c>
      <c r="B3" s="13"/>
      <c r="C3" s="13"/>
      <c r="D3" s="13"/>
      <c r="E3" s="14"/>
      <c r="F3" s="6"/>
      <c r="G3" s="6"/>
    </row>
    <row r="4">
      <c r="A4" s="16"/>
      <c r="B4" s="17"/>
      <c r="C4" s="16"/>
      <c r="D4" s="16"/>
      <c r="E4" s="18"/>
      <c r="F4" s="19" t="s">
        <v>3</v>
      </c>
      <c r="G4" s="20" t="s">
        <v>4</v>
      </c>
    </row>
    <row r="5">
      <c r="A5" s="21" t="s">
        <v>36</v>
      </c>
      <c r="B5" s="22"/>
      <c r="C5" s="22"/>
      <c r="D5" s="22"/>
      <c r="E5" s="23"/>
      <c r="F5" s="24"/>
      <c r="G5" s="6"/>
    </row>
    <row r="6">
      <c r="A6" s="25"/>
      <c r="B6" s="26"/>
      <c r="C6" s="26"/>
      <c r="D6" s="26"/>
      <c r="E6" s="27"/>
      <c r="F6" s="24"/>
      <c r="G6" s="6"/>
    </row>
    <row r="7">
      <c r="A7" s="29" t="s">
        <v>7</v>
      </c>
      <c r="C7" s="30" t="s">
        <v>8</v>
      </c>
      <c r="D7" s="30" t="s">
        <v>9</v>
      </c>
      <c r="E7" s="31" t="s">
        <v>10</v>
      </c>
      <c r="F7" s="6"/>
      <c r="G7" s="6"/>
    </row>
    <row r="8">
      <c r="A8" s="79" t="s">
        <v>11</v>
      </c>
      <c r="E8" s="11"/>
      <c r="F8" s="34"/>
      <c r="G8" s="34"/>
    </row>
    <row r="9">
      <c r="A9" s="35" t="s">
        <v>12</v>
      </c>
      <c r="E9" s="11"/>
      <c r="F9" s="34"/>
      <c r="G9" s="34"/>
    </row>
    <row r="10">
      <c r="A10" s="37"/>
      <c r="B10" s="22"/>
      <c r="C10" s="22"/>
      <c r="D10" s="22"/>
      <c r="E10" s="23"/>
      <c r="F10" s="34"/>
      <c r="G10" s="34"/>
    </row>
    <row r="11">
      <c r="A11" s="39" t="s">
        <v>13</v>
      </c>
      <c r="B11" s="49" t="s">
        <v>14</v>
      </c>
      <c r="C11" s="41">
        <v>7.0</v>
      </c>
      <c r="D11" s="41">
        <v>3.0</v>
      </c>
      <c r="E11" s="41" t="s">
        <v>19</v>
      </c>
      <c r="F11" s="34"/>
      <c r="G11" s="42"/>
    </row>
    <row r="12">
      <c r="A12" s="52">
        <v>17.0</v>
      </c>
      <c r="B12" s="54" t="s">
        <v>51</v>
      </c>
      <c r="E12" s="11"/>
      <c r="F12" s="34"/>
      <c r="G12" s="42"/>
    </row>
    <row r="13">
      <c r="A13" s="55"/>
      <c r="B13" s="93" t="s">
        <v>16</v>
      </c>
      <c r="C13" s="13"/>
      <c r="D13" s="13"/>
      <c r="E13" s="14"/>
      <c r="F13" s="34"/>
      <c r="G13" s="42"/>
    </row>
    <row r="14">
      <c r="A14" s="57" t="s">
        <v>13</v>
      </c>
      <c r="B14" s="65" t="s">
        <v>14</v>
      </c>
      <c r="C14" s="41">
        <v>3.0</v>
      </c>
      <c r="D14" s="41">
        <v>5.0</v>
      </c>
      <c r="E14" s="41" t="s">
        <v>26</v>
      </c>
      <c r="F14" s="34"/>
      <c r="G14" s="42"/>
    </row>
    <row r="15">
      <c r="A15" s="52">
        <v>24.0</v>
      </c>
      <c r="B15" s="54" t="s">
        <v>55</v>
      </c>
      <c r="E15" s="11"/>
      <c r="F15" s="50"/>
      <c r="G15" s="42"/>
    </row>
    <row r="16">
      <c r="A16" s="80" t="s">
        <v>42</v>
      </c>
      <c r="B16" s="46" t="s">
        <v>16</v>
      </c>
      <c r="C16" s="13"/>
      <c r="D16" s="13"/>
      <c r="E16" s="14"/>
      <c r="F16" s="58"/>
      <c r="G16" s="59"/>
    </row>
    <row r="17">
      <c r="A17" s="57" t="s">
        <v>17</v>
      </c>
      <c r="B17" s="65" t="s">
        <v>14</v>
      </c>
      <c r="C17" s="41">
        <v>4.0</v>
      </c>
      <c r="D17" s="41">
        <v>3.0</v>
      </c>
      <c r="E17" s="41" t="s">
        <v>19</v>
      </c>
      <c r="F17" s="42" t="s">
        <v>40</v>
      </c>
      <c r="G17" s="42" t="s">
        <v>19</v>
      </c>
    </row>
    <row r="18">
      <c r="A18" s="75">
        <v>1.0</v>
      </c>
      <c r="B18" s="44" t="s">
        <v>65</v>
      </c>
      <c r="E18" s="11"/>
      <c r="F18" s="50"/>
      <c r="G18" s="42"/>
    </row>
    <row r="19">
      <c r="A19" s="69"/>
      <c r="B19" s="93" t="s">
        <v>16</v>
      </c>
      <c r="C19" s="13"/>
      <c r="D19" s="13"/>
      <c r="E19" s="14"/>
      <c r="F19" s="50"/>
      <c r="G19" s="42"/>
    </row>
    <row r="20">
      <c r="A20" s="57" t="s">
        <v>17</v>
      </c>
      <c r="B20" s="72" t="s">
        <v>14</v>
      </c>
      <c r="C20" s="41">
        <v>4.0</v>
      </c>
      <c r="D20" s="41">
        <v>4.0</v>
      </c>
      <c r="E20" s="41" t="s">
        <v>73</v>
      </c>
      <c r="F20" s="50"/>
      <c r="G20" s="42" t="s">
        <v>73</v>
      </c>
    </row>
    <row r="21">
      <c r="A21" s="75">
        <v>15.0</v>
      </c>
      <c r="B21" s="60" t="s">
        <v>75</v>
      </c>
      <c r="E21" s="11"/>
      <c r="F21" s="50"/>
      <c r="G21" s="42"/>
    </row>
    <row r="22">
      <c r="A22" s="69"/>
      <c r="B22" s="93" t="s">
        <v>16</v>
      </c>
      <c r="C22" s="13"/>
      <c r="D22" s="13"/>
      <c r="E22" s="14"/>
      <c r="F22" s="50"/>
      <c r="G22" s="42"/>
    </row>
    <row r="23">
      <c r="A23" s="57" t="s">
        <v>17</v>
      </c>
      <c r="B23" s="65" t="s">
        <v>14</v>
      </c>
      <c r="C23" s="41">
        <v>11.0</v>
      </c>
      <c r="D23" s="41">
        <v>7.0</v>
      </c>
      <c r="E23" s="41" t="s">
        <v>19</v>
      </c>
      <c r="F23" s="50"/>
      <c r="G23" s="42"/>
    </row>
    <row r="24">
      <c r="A24" s="75">
        <v>22.0</v>
      </c>
      <c r="B24" s="68" t="s">
        <v>85</v>
      </c>
      <c r="E24" s="11"/>
      <c r="F24" s="50"/>
      <c r="G24" s="42"/>
    </row>
    <row r="25">
      <c r="A25" s="69"/>
      <c r="B25" s="93" t="s">
        <v>16</v>
      </c>
      <c r="C25" s="13"/>
      <c r="D25" s="13"/>
      <c r="E25" s="14"/>
      <c r="F25" s="50"/>
      <c r="G25" s="42"/>
    </row>
    <row r="26">
      <c r="A26" s="57" t="s">
        <v>17</v>
      </c>
      <c r="B26" s="65" t="s">
        <v>14</v>
      </c>
      <c r="C26" s="41">
        <v>6.0</v>
      </c>
      <c r="D26" s="41">
        <v>1.0</v>
      </c>
      <c r="E26" s="41" t="s">
        <v>19</v>
      </c>
      <c r="F26" s="42"/>
      <c r="G26" s="42" t="s">
        <v>19</v>
      </c>
    </row>
    <row r="27">
      <c r="A27" s="104">
        <v>27.0</v>
      </c>
      <c r="B27" s="44" t="s">
        <v>94</v>
      </c>
      <c r="E27" s="11"/>
      <c r="F27" s="50"/>
      <c r="G27" s="42"/>
    </row>
    <row r="28">
      <c r="A28" s="69"/>
      <c r="B28" s="93" t="s">
        <v>50</v>
      </c>
      <c r="C28" s="13"/>
      <c r="D28" s="13"/>
      <c r="E28" s="14"/>
      <c r="F28" s="50"/>
      <c r="G28" s="42"/>
    </row>
    <row r="29">
      <c r="A29" s="57" t="s">
        <v>17</v>
      </c>
      <c r="B29" s="72" t="s">
        <v>14</v>
      </c>
      <c r="C29" s="41">
        <v>3.0</v>
      </c>
      <c r="D29" s="41">
        <v>4.0</v>
      </c>
      <c r="E29" s="41" t="s">
        <v>48</v>
      </c>
      <c r="F29" s="42" t="s">
        <v>40</v>
      </c>
      <c r="G29" s="42" t="s">
        <v>48</v>
      </c>
    </row>
    <row r="30">
      <c r="A30" s="75">
        <v>29.0</v>
      </c>
      <c r="B30" s="60" t="s">
        <v>100</v>
      </c>
      <c r="E30" s="11"/>
      <c r="F30" s="50"/>
      <c r="G30" s="42"/>
    </row>
    <row r="31">
      <c r="A31" s="69"/>
      <c r="B31" s="93" t="s">
        <v>16</v>
      </c>
      <c r="C31" s="13"/>
      <c r="D31" s="13"/>
      <c r="E31" s="14"/>
      <c r="F31" s="50"/>
      <c r="G31" s="42"/>
    </row>
    <row r="32">
      <c r="A32" s="57" t="s">
        <v>34</v>
      </c>
      <c r="B32" s="65" t="s">
        <v>14</v>
      </c>
      <c r="C32" s="41">
        <v>3.0</v>
      </c>
      <c r="D32" s="41">
        <v>5.0</v>
      </c>
      <c r="E32" s="41" t="s">
        <v>26</v>
      </c>
      <c r="F32" s="42"/>
      <c r="G32" s="42" t="s">
        <v>26</v>
      </c>
    </row>
    <row r="33">
      <c r="A33" s="104">
        <v>3.0</v>
      </c>
      <c r="B33" s="44" t="s">
        <v>71</v>
      </c>
      <c r="E33" s="11"/>
      <c r="F33" s="50"/>
      <c r="G33" s="42"/>
    </row>
    <row r="34">
      <c r="A34" s="69"/>
      <c r="B34" s="93" t="s">
        <v>107</v>
      </c>
      <c r="C34" s="13"/>
      <c r="D34" s="13"/>
      <c r="E34" s="14"/>
      <c r="F34" s="50"/>
      <c r="G34" s="42"/>
    </row>
    <row r="35">
      <c r="A35" s="57" t="s">
        <v>34</v>
      </c>
      <c r="B35" s="65" t="s">
        <v>14</v>
      </c>
      <c r="C35" s="41">
        <v>3.0</v>
      </c>
      <c r="D35" s="41">
        <v>5.0</v>
      </c>
      <c r="E35" s="41" t="s">
        <v>26</v>
      </c>
      <c r="F35" s="50"/>
      <c r="G35" s="42" t="s">
        <v>26</v>
      </c>
    </row>
    <row r="36">
      <c r="A36" s="75">
        <v>5.0</v>
      </c>
      <c r="B36" s="44" t="s">
        <v>38</v>
      </c>
      <c r="E36" s="11"/>
      <c r="F36" s="50"/>
      <c r="G36" s="42"/>
    </row>
    <row r="37">
      <c r="A37" s="69"/>
      <c r="B37" s="93" t="s">
        <v>16</v>
      </c>
      <c r="C37" s="13"/>
      <c r="D37" s="13"/>
      <c r="E37" s="14"/>
      <c r="F37" s="50"/>
      <c r="G37" s="42"/>
    </row>
    <row r="38">
      <c r="A38" s="57" t="s">
        <v>34</v>
      </c>
      <c r="B38" s="72" t="s">
        <v>14</v>
      </c>
      <c r="C38" s="41">
        <v>4.0</v>
      </c>
      <c r="D38" s="41">
        <v>5.0</v>
      </c>
      <c r="E38" s="41" t="s">
        <v>48</v>
      </c>
      <c r="F38" s="42" t="s">
        <v>40</v>
      </c>
      <c r="G38" s="42"/>
    </row>
    <row r="39">
      <c r="A39" s="75">
        <v>11.0</v>
      </c>
      <c r="B39" s="68" t="s">
        <v>110</v>
      </c>
      <c r="E39" s="11"/>
      <c r="F39" s="50"/>
      <c r="G39" s="42"/>
    </row>
    <row r="40">
      <c r="A40" s="69"/>
      <c r="B40" s="93" t="s">
        <v>111</v>
      </c>
      <c r="C40" s="13"/>
      <c r="D40" s="13"/>
      <c r="E40" s="14"/>
      <c r="F40" s="50"/>
      <c r="G40" s="42"/>
    </row>
    <row r="41">
      <c r="A41" s="155"/>
      <c r="E41" s="11"/>
      <c r="F41" s="50"/>
      <c r="G41" s="42"/>
    </row>
    <row r="42">
      <c r="A42" s="157" t="s">
        <v>114</v>
      </c>
      <c r="B42" s="132"/>
      <c r="C42" s="132"/>
      <c r="D42" s="132"/>
      <c r="E42" s="133"/>
      <c r="F42" s="50"/>
      <c r="G42" s="42"/>
    </row>
    <row r="43">
      <c r="A43" s="159" t="s">
        <v>121</v>
      </c>
      <c r="E43" s="11"/>
      <c r="F43" s="50"/>
      <c r="G43" s="42"/>
    </row>
    <row r="44">
      <c r="A44" s="160" t="s">
        <v>34</v>
      </c>
      <c r="B44" s="161" t="s">
        <v>14</v>
      </c>
      <c r="C44" s="90">
        <v>7.0</v>
      </c>
      <c r="D44" s="90">
        <v>3.0</v>
      </c>
      <c r="E44" s="90" t="s">
        <v>19</v>
      </c>
      <c r="F44" s="50"/>
      <c r="G44" s="42"/>
    </row>
    <row r="45">
      <c r="A45" s="162">
        <v>17.0</v>
      </c>
      <c r="B45" s="95" t="s">
        <v>127</v>
      </c>
      <c r="E45" s="11"/>
      <c r="F45" s="42"/>
      <c r="G45" s="42"/>
    </row>
    <row r="46">
      <c r="A46" s="164"/>
      <c r="B46" s="13"/>
      <c r="C46" s="13"/>
      <c r="D46" s="13"/>
      <c r="E46" s="14"/>
      <c r="F46" s="42"/>
      <c r="G46" s="42"/>
    </row>
    <row r="47">
      <c r="A47" s="160" t="s">
        <v>34</v>
      </c>
      <c r="B47" s="161" t="s">
        <v>14</v>
      </c>
      <c r="C47" s="90">
        <v>4.0</v>
      </c>
      <c r="D47" s="90">
        <v>3.0</v>
      </c>
      <c r="E47" s="90" t="s">
        <v>19</v>
      </c>
      <c r="F47" s="42"/>
      <c r="G47" s="42"/>
    </row>
    <row r="48">
      <c r="A48" s="162">
        <v>18.0</v>
      </c>
      <c r="B48" s="95" t="s">
        <v>129</v>
      </c>
      <c r="E48" s="11"/>
      <c r="F48" s="42"/>
      <c r="G48" s="42"/>
    </row>
    <row r="49">
      <c r="A49" s="164"/>
      <c r="B49" s="13"/>
      <c r="C49" s="13"/>
      <c r="D49" s="13"/>
      <c r="E49" s="14"/>
      <c r="F49" s="42"/>
      <c r="G49" s="42"/>
    </row>
    <row r="50">
      <c r="A50" s="165" t="s">
        <v>34</v>
      </c>
      <c r="B50" s="99" t="s">
        <v>14</v>
      </c>
      <c r="C50" s="90">
        <v>1.0</v>
      </c>
      <c r="D50" s="90">
        <v>2.0</v>
      </c>
      <c r="E50" s="90" t="s">
        <v>26</v>
      </c>
      <c r="F50" s="34"/>
      <c r="G50" s="42"/>
    </row>
    <row r="51">
      <c r="A51" s="162">
        <v>19.0</v>
      </c>
      <c r="B51" s="95" t="s">
        <v>131</v>
      </c>
      <c r="E51" s="11"/>
      <c r="F51" s="34"/>
      <c r="G51" s="42"/>
    </row>
    <row r="52">
      <c r="A52" s="164"/>
      <c r="B52" s="13"/>
      <c r="C52" s="13"/>
      <c r="D52" s="13"/>
      <c r="E52" s="14"/>
      <c r="F52" s="34"/>
      <c r="G52" s="42"/>
    </row>
    <row r="53">
      <c r="A53" s="167"/>
      <c r="E53" s="105"/>
      <c r="F53" s="34"/>
      <c r="G53" s="42"/>
    </row>
    <row r="54">
      <c r="A54" s="168" t="s">
        <v>61</v>
      </c>
      <c r="B54" s="169" t="s">
        <v>14</v>
      </c>
      <c r="C54" s="107">
        <v>8.0</v>
      </c>
      <c r="D54" s="107">
        <v>2.0</v>
      </c>
      <c r="E54" s="107" t="s">
        <v>19</v>
      </c>
      <c r="F54" s="34"/>
      <c r="G54" s="42"/>
    </row>
    <row r="55">
      <c r="A55" s="170">
        <v>3.0</v>
      </c>
      <c r="B55" s="108" t="s">
        <v>132</v>
      </c>
      <c r="E55" s="11"/>
      <c r="F55" s="34"/>
      <c r="G55" s="42"/>
    </row>
    <row r="56">
      <c r="A56" s="171"/>
      <c r="B56" s="93" t="s">
        <v>134</v>
      </c>
      <c r="C56" s="13"/>
      <c r="D56" s="13"/>
      <c r="E56" s="14"/>
      <c r="F56" s="34"/>
      <c r="G56" s="42"/>
    </row>
    <row r="57">
      <c r="A57" s="168" t="s">
        <v>61</v>
      </c>
      <c r="B57" s="169" t="s">
        <v>14</v>
      </c>
      <c r="C57" s="107">
        <v>1.0</v>
      </c>
      <c r="D57" s="107">
        <v>2.0</v>
      </c>
      <c r="E57" s="107" t="s">
        <v>48</v>
      </c>
      <c r="F57" s="42" t="s">
        <v>40</v>
      </c>
      <c r="G57" s="42" t="s">
        <v>48</v>
      </c>
    </row>
    <row r="58">
      <c r="A58" s="170">
        <v>8.0</v>
      </c>
      <c r="B58" s="109" t="s">
        <v>124</v>
      </c>
      <c r="E58" s="11"/>
      <c r="F58" s="34"/>
      <c r="G58" s="42"/>
    </row>
    <row r="59">
      <c r="A59" s="171"/>
      <c r="B59" s="173" t="s">
        <v>137</v>
      </c>
      <c r="C59" s="13"/>
      <c r="D59" s="13"/>
      <c r="E59" s="14"/>
      <c r="F59" s="34"/>
      <c r="G59" s="42"/>
    </row>
    <row r="60">
      <c r="A60" s="168" t="s">
        <v>61</v>
      </c>
      <c r="B60" s="169" t="s">
        <v>14</v>
      </c>
      <c r="C60" s="107">
        <v>4.0</v>
      </c>
      <c r="D60" s="107">
        <v>3.0</v>
      </c>
      <c r="E60" s="107" t="s">
        <v>19</v>
      </c>
      <c r="F60" s="42" t="s">
        <v>40</v>
      </c>
      <c r="G60" s="42" t="s">
        <v>19</v>
      </c>
    </row>
    <row r="61">
      <c r="A61" s="170">
        <v>9.0</v>
      </c>
      <c r="B61" s="109" t="s">
        <v>124</v>
      </c>
      <c r="E61" s="11"/>
      <c r="F61" s="34"/>
      <c r="G61" s="42"/>
    </row>
    <row r="62">
      <c r="A62" s="171"/>
      <c r="B62" s="173" t="s">
        <v>137</v>
      </c>
      <c r="C62" s="13"/>
      <c r="D62" s="13"/>
      <c r="E62" s="14"/>
      <c r="F62" s="34"/>
      <c r="G62" s="42"/>
    </row>
    <row r="63">
      <c r="A63" s="168" t="s">
        <v>61</v>
      </c>
      <c r="B63" s="174" t="s">
        <v>14</v>
      </c>
      <c r="C63" s="107">
        <v>0.0</v>
      </c>
      <c r="D63" s="107">
        <v>12.0</v>
      </c>
      <c r="E63" s="107" t="s">
        <v>26</v>
      </c>
      <c r="F63" s="34"/>
      <c r="G63" s="42" t="s">
        <v>26</v>
      </c>
    </row>
    <row r="64">
      <c r="A64" s="170">
        <v>10.0</v>
      </c>
      <c r="B64" s="109" t="s">
        <v>63</v>
      </c>
      <c r="E64" s="11"/>
      <c r="F64" s="34"/>
      <c r="G64" s="42"/>
    </row>
    <row r="65">
      <c r="A65" s="171"/>
      <c r="B65" s="173" t="s">
        <v>143</v>
      </c>
      <c r="C65" s="13"/>
      <c r="D65" s="13"/>
      <c r="E65" s="14"/>
      <c r="F65" s="34"/>
      <c r="G65" s="42"/>
    </row>
    <row r="66">
      <c r="A66" s="168" t="s">
        <v>68</v>
      </c>
      <c r="B66" s="169" t="s">
        <v>14</v>
      </c>
      <c r="C66" s="107">
        <v>3.0</v>
      </c>
      <c r="D66" s="107">
        <v>4.0</v>
      </c>
      <c r="E66" s="107" t="s">
        <v>26</v>
      </c>
      <c r="F66" s="42"/>
      <c r="G66" s="42"/>
    </row>
    <row r="67">
      <c r="A67" s="43">
        <v>21.0</v>
      </c>
      <c r="B67" s="112" t="s">
        <v>147</v>
      </c>
      <c r="E67" s="11"/>
      <c r="F67" s="42"/>
      <c r="G67" s="42"/>
    </row>
    <row r="68">
      <c r="A68" s="171"/>
      <c r="B68" s="173" t="s">
        <v>148</v>
      </c>
      <c r="C68" s="13"/>
      <c r="D68" s="13"/>
      <c r="E68" s="14"/>
      <c r="F68" s="42"/>
      <c r="G68" s="42"/>
    </row>
    <row r="69">
      <c r="A69" s="168" t="s">
        <v>68</v>
      </c>
      <c r="B69" s="169" t="s">
        <v>14</v>
      </c>
      <c r="C69" s="107">
        <v>4.0</v>
      </c>
      <c r="D69" s="107">
        <v>3.0</v>
      </c>
      <c r="E69" s="107" t="s">
        <v>19</v>
      </c>
      <c r="F69" s="6"/>
      <c r="G69" s="116"/>
    </row>
    <row r="70">
      <c r="A70" s="43">
        <v>27.0</v>
      </c>
      <c r="B70" s="183" t="s">
        <v>149</v>
      </c>
      <c r="E70" s="11"/>
      <c r="F70" s="6"/>
      <c r="G70" s="116"/>
    </row>
    <row r="71">
      <c r="A71" s="176"/>
      <c r="B71" s="93" t="s">
        <v>16</v>
      </c>
      <c r="C71" s="13"/>
      <c r="D71" s="13"/>
      <c r="E71" s="14"/>
      <c r="F71" s="6"/>
      <c r="G71" s="116"/>
    </row>
    <row r="72">
      <c r="A72" s="168" t="s">
        <v>68</v>
      </c>
      <c r="B72" s="169" t="s">
        <v>14</v>
      </c>
      <c r="C72" s="107">
        <v>0.0</v>
      </c>
      <c r="D72" s="107">
        <v>4.0</v>
      </c>
      <c r="E72" s="107" t="s">
        <v>26</v>
      </c>
      <c r="F72" s="6"/>
      <c r="G72" s="116"/>
    </row>
    <row r="73">
      <c r="A73" s="43">
        <v>28.0</v>
      </c>
      <c r="B73" s="183" t="s">
        <v>151</v>
      </c>
      <c r="E73" s="11"/>
      <c r="F73" s="6"/>
      <c r="G73" s="116"/>
    </row>
    <row r="74">
      <c r="A74" s="176"/>
      <c r="B74" s="173" t="s">
        <v>107</v>
      </c>
      <c r="C74" s="13"/>
      <c r="D74" s="13"/>
      <c r="E74" s="14"/>
      <c r="F74" s="6"/>
      <c r="G74" s="116"/>
    </row>
    <row r="75">
      <c r="A75" s="186" t="s">
        <v>74</v>
      </c>
      <c r="B75" s="188" t="s">
        <v>14</v>
      </c>
      <c r="C75" s="189">
        <v>3.0</v>
      </c>
      <c r="D75" s="189">
        <v>4.0</v>
      </c>
      <c r="E75" s="189" t="s">
        <v>48</v>
      </c>
      <c r="F75" s="190"/>
      <c r="G75" s="191"/>
    </row>
    <row r="76">
      <c r="A76" s="192">
        <v>2.0</v>
      </c>
      <c r="B76" s="193" t="s">
        <v>155</v>
      </c>
      <c r="E76" s="11"/>
      <c r="F76" s="190"/>
      <c r="G76" s="190"/>
    </row>
    <row r="77">
      <c r="A77" s="194"/>
      <c r="B77" s="93" t="s">
        <v>16</v>
      </c>
      <c r="C77" s="13"/>
      <c r="D77" s="13"/>
      <c r="E77" s="14"/>
      <c r="F77" s="190"/>
      <c r="G77" s="190"/>
    </row>
    <row r="78">
      <c r="A78" s="195" t="s">
        <v>74</v>
      </c>
      <c r="B78" s="196" t="s">
        <v>14</v>
      </c>
      <c r="C78" s="197">
        <v>5.0</v>
      </c>
      <c r="D78" s="197">
        <v>4.0</v>
      </c>
      <c r="E78" s="197" t="s">
        <v>19</v>
      </c>
      <c r="F78" s="190"/>
      <c r="G78" s="190"/>
    </row>
    <row r="79">
      <c r="A79" s="192">
        <v>3.0</v>
      </c>
      <c r="B79" s="193" t="s">
        <v>158</v>
      </c>
      <c r="E79" s="11"/>
      <c r="F79" s="190"/>
      <c r="G79" s="190"/>
    </row>
    <row r="80">
      <c r="A80" s="194"/>
      <c r="B80" s="200" t="s">
        <v>159</v>
      </c>
      <c r="C80" s="13"/>
      <c r="D80" s="13"/>
      <c r="E80" s="14"/>
      <c r="F80" s="190"/>
      <c r="G80" s="190"/>
    </row>
    <row r="81">
      <c r="A81" s="186" t="s">
        <v>74</v>
      </c>
      <c r="B81" s="188" t="s">
        <v>14</v>
      </c>
      <c r="C81" s="189">
        <v>3.0</v>
      </c>
      <c r="D81" s="189">
        <v>6.0</v>
      </c>
      <c r="E81" s="189" t="s">
        <v>26</v>
      </c>
      <c r="F81" s="190"/>
      <c r="G81" s="203" t="s">
        <v>26</v>
      </c>
    </row>
    <row r="82">
      <c r="A82" s="204">
        <v>10.0</v>
      </c>
      <c r="B82" s="205" t="s">
        <v>162</v>
      </c>
      <c r="E82" s="11"/>
      <c r="F82" s="190"/>
      <c r="G82" s="190"/>
    </row>
    <row r="83">
      <c r="A83" s="194"/>
      <c r="B83" s="200" t="s">
        <v>91</v>
      </c>
      <c r="C83" s="13"/>
      <c r="D83" s="13"/>
      <c r="E83" s="14"/>
      <c r="F83" s="190"/>
      <c r="G83" s="190"/>
    </row>
    <row r="84">
      <c r="A84" s="195" t="s">
        <v>74</v>
      </c>
      <c r="B84" s="196" t="s">
        <v>14</v>
      </c>
      <c r="C84" s="197">
        <v>4.0</v>
      </c>
      <c r="D84" s="197">
        <v>6.0</v>
      </c>
      <c r="E84" s="197" t="s">
        <v>26</v>
      </c>
      <c r="F84" s="190"/>
      <c r="G84" s="190"/>
    </row>
    <row r="85">
      <c r="A85" s="204">
        <v>17.0</v>
      </c>
      <c r="B85" s="208" t="s">
        <v>165</v>
      </c>
      <c r="E85" s="11"/>
      <c r="F85" s="190"/>
      <c r="G85" s="190"/>
    </row>
    <row r="86">
      <c r="A86" s="194"/>
      <c r="B86" s="93" t="s">
        <v>16</v>
      </c>
      <c r="C86" s="13"/>
      <c r="D86" s="13"/>
      <c r="E86" s="14"/>
      <c r="F86" s="190"/>
      <c r="G86" s="190"/>
    </row>
    <row r="87">
      <c r="A87" s="168" t="s">
        <v>74</v>
      </c>
      <c r="B87" s="169" t="s">
        <v>14</v>
      </c>
      <c r="C87" s="107">
        <v>1.0</v>
      </c>
      <c r="D87" s="107">
        <v>6.0</v>
      </c>
      <c r="E87" s="107" t="s">
        <v>26</v>
      </c>
      <c r="F87" s="42"/>
      <c r="G87" s="42"/>
    </row>
    <row r="88">
      <c r="A88" s="43">
        <v>18.0</v>
      </c>
      <c r="B88" s="208" t="s">
        <v>168</v>
      </c>
      <c r="E88" s="11"/>
      <c r="F88" s="42"/>
      <c r="G88" s="42"/>
    </row>
    <row r="89">
      <c r="A89" s="171"/>
      <c r="B89" s="200" t="s">
        <v>91</v>
      </c>
      <c r="C89" s="13"/>
      <c r="D89" s="13"/>
      <c r="E89" s="14"/>
      <c r="F89" s="42"/>
      <c r="G89" s="42"/>
    </row>
    <row r="90">
      <c r="A90" s="178"/>
      <c r="B90" s="22"/>
      <c r="C90" s="22"/>
      <c r="D90" s="22"/>
      <c r="E90" s="23"/>
      <c r="F90" s="6"/>
      <c r="G90" s="6"/>
    </row>
    <row r="91">
      <c r="A91" s="123" t="s">
        <v>169</v>
      </c>
      <c r="B91" s="124"/>
      <c r="C91" s="124"/>
      <c r="D91" s="124"/>
      <c r="E91" s="125"/>
      <c r="F91" s="126"/>
      <c r="G91" s="34"/>
    </row>
    <row r="92">
      <c r="A92" s="127" t="s">
        <v>107</v>
      </c>
      <c r="E92" s="11"/>
      <c r="F92" s="42"/>
      <c r="G92" s="42"/>
    </row>
    <row r="93">
      <c r="A93" s="168" t="s">
        <v>74</v>
      </c>
      <c r="B93" s="169" t="s">
        <v>14</v>
      </c>
      <c r="C93" s="128">
        <v>6.0</v>
      </c>
      <c r="D93" s="128">
        <v>0.0</v>
      </c>
      <c r="E93" s="128" t="s">
        <v>19</v>
      </c>
      <c r="F93" s="42"/>
      <c r="G93" s="42"/>
    </row>
    <row r="94">
      <c r="A94" s="170">
        <v>23.0</v>
      </c>
      <c r="B94" s="109" t="s">
        <v>100</v>
      </c>
      <c r="E94" s="11"/>
      <c r="F94" s="116"/>
      <c r="G94" s="116"/>
    </row>
    <row r="95">
      <c r="A95" s="180" t="s">
        <v>95</v>
      </c>
      <c r="B95" s="13"/>
      <c r="C95" s="13"/>
      <c r="D95" s="13"/>
      <c r="E95" s="14"/>
      <c r="F95" s="116"/>
      <c r="G95" s="116"/>
    </row>
    <row r="96">
      <c r="A96" s="168" t="s">
        <v>74</v>
      </c>
      <c r="B96" s="169" t="s">
        <v>14</v>
      </c>
      <c r="C96" s="107">
        <v>4.0</v>
      </c>
      <c r="D96" s="107">
        <v>6.0</v>
      </c>
      <c r="E96" s="107" t="s">
        <v>26</v>
      </c>
      <c r="F96" s="116"/>
      <c r="G96" s="116"/>
    </row>
    <row r="97">
      <c r="A97" s="170">
        <v>24.0</v>
      </c>
      <c r="B97" s="109" t="s">
        <v>63</v>
      </c>
      <c r="E97" s="11"/>
      <c r="F97" s="116"/>
      <c r="G97" s="116"/>
    </row>
    <row r="98">
      <c r="A98" s="180" t="s">
        <v>96</v>
      </c>
      <c r="B98" s="13"/>
      <c r="C98" s="13"/>
      <c r="D98" s="13"/>
      <c r="E98" s="14"/>
      <c r="F98" s="116"/>
      <c r="G98" s="116"/>
    </row>
    <row r="99" hidden="1">
      <c r="A99" s="168" t="s">
        <v>74</v>
      </c>
      <c r="B99" s="120"/>
      <c r="C99" s="107"/>
      <c r="D99" s="107"/>
      <c r="E99" s="107"/>
      <c r="F99" s="116"/>
      <c r="G99" s="116"/>
    </row>
    <row r="100" hidden="1">
      <c r="A100" s="170">
        <v>25.0</v>
      </c>
      <c r="B100" s="109" t="s">
        <v>92</v>
      </c>
      <c r="E100" s="11"/>
      <c r="F100" s="116"/>
      <c r="G100" s="116"/>
    </row>
    <row r="101" hidden="1">
      <c r="A101" s="180" t="s">
        <v>99</v>
      </c>
      <c r="B101" s="13"/>
      <c r="C101" s="13"/>
      <c r="D101" s="13"/>
      <c r="E101" s="14"/>
      <c r="F101" s="116"/>
      <c r="G101" s="116"/>
    </row>
    <row r="102">
      <c r="A102" s="184"/>
      <c r="B102" s="26"/>
      <c r="C102" s="26"/>
      <c r="D102" s="26"/>
      <c r="E102" s="27"/>
      <c r="F102" s="116"/>
      <c r="G102" s="116"/>
    </row>
    <row r="103">
      <c r="A103" s="135" t="s">
        <v>173</v>
      </c>
      <c r="B103" s="136"/>
      <c r="C103" s="136"/>
      <c r="D103" s="136"/>
      <c r="E103" s="137"/>
      <c r="F103" s="19"/>
      <c r="G103" s="116"/>
    </row>
    <row r="104">
      <c r="A104" s="139" t="s">
        <v>175</v>
      </c>
      <c r="E104" s="11"/>
      <c r="F104" s="19"/>
      <c r="G104" s="116"/>
    </row>
    <row r="105">
      <c r="A105" s="141" t="s">
        <v>47</v>
      </c>
      <c r="B105" s="13"/>
      <c r="C105" s="13"/>
      <c r="D105" s="13"/>
      <c r="E105" s="14"/>
      <c r="F105" s="19"/>
      <c r="G105" s="116"/>
    </row>
    <row r="106">
      <c r="A106" s="168" t="s">
        <v>106</v>
      </c>
      <c r="B106" s="169" t="s">
        <v>14</v>
      </c>
      <c r="C106" s="107">
        <v>1.0</v>
      </c>
      <c r="D106" s="107">
        <v>6.0</v>
      </c>
      <c r="E106" s="107" t="s">
        <v>26</v>
      </c>
      <c r="F106" s="19"/>
      <c r="G106" s="116"/>
    </row>
    <row r="107">
      <c r="A107" s="170">
        <v>6.0</v>
      </c>
      <c r="B107" s="109" t="s">
        <v>179</v>
      </c>
      <c r="E107" s="11"/>
      <c r="F107" s="19"/>
      <c r="G107" s="116"/>
    </row>
    <row r="108">
      <c r="A108" s="180"/>
      <c r="B108" s="13"/>
      <c r="C108" s="13"/>
      <c r="D108" s="13"/>
      <c r="E108" s="14"/>
      <c r="F108" s="19"/>
      <c r="G108" s="116"/>
    </row>
    <row r="109">
      <c r="A109" s="185" t="s">
        <v>106</v>
      </c>
      <c r="B109" s="224" t="s">
        <v>14</v>
      </c>
      <c r="C109" s="107">
        <v>0.0</v>
      </c>
      <c r="D109" s="107">
        <v>7.0</v>
      </c>
      <c r="E109" s="107" t="s">
        <v>26</v>
      </c>
      <c r="F109" s="19"/>
      <c r="G109" s="116"/>
    </row>
    <row r="110">
      <c r="A110" s="170">
        <v>7.0</v>
      </c>
      <c r="B110" s="109" t="s">
        <v>183</v>
      </c>
      <c r="E110" s="11"/>
      <c r="F110" s="19"/>
      <c r="G110" s="116"/>
    </row>
    <row r="111">
      <c r="A111" s="180"/>
      <c r="B111" s="13"/>
      <c r="C111" s="13"/>
      <c r="D111" s="13"/>
      <c r="E111" s="14"/>
      <c r="F111" s="19"/>
      <c r="G111" s="116"/>
    </row>
    <row r="112">
      <c r="A112" s="185" t="s">
        <v>106</v>
      </c>
      <c r="B112" s="224" t="s">
        <v>14</v>
      </c>
      <c r="C112" s="107">
        <v>3.0</v>
      </c>
      <c r="D112" s="107">
        <v>4.0</v>
      </c>
      <c r="E112" s="107" t="s">
        <v>26</v>
      </c>
      <c r="F112" s="19"/>
      <c r="G112" s="116"/>
    </row>
    <row r="113">
      <c r="A113" s="170">
        <v>8.0</v>
      </c>
      <c r="B113" s="109" t="s">
        <v>38</v>
      </c>
      <c r="E113" s="11"/>
      <c r="F113" s="19"/>
      <c r="G113" s="116"/>
    </row>
    <row r="114">
      <c r="A114" s="180"/>
      <c r="B114" s="13"/>
      <c r="C114" s="13"/>
      <c r="D114" s="13"/>
      <c r="E114" s="14"/>
      <c r="F114" s="19"/>
      <c r="G114" s="116"/>
    </row>
    <row r="115">
      <c r="A115" s="187"/>
      <c r="B115" s="136"/>
      <c r="C115" s="136"/>
      <c r="D115" s="136"/>
      <c r="E115" s="137"/>
      <c r="F115" s="19"/>
      <c r="G115" s="116"/>
    </row>
    <row r="116">
      <c r="A116" s="149" t="s">
        <v>108</v>
      </c>
      <c r="C116" s="151">
        <f t="shared" ref="C116:D116" si="1">SUM(C11:C115)</f>
        <v>110</v>
      </c>
      <c r="D116" s="151">
        <f t="shared" si="1"/>
        <v>129</v>
      </c>
      <c r="E116" s="152"/>
      <c r="F116" s="6"/>
      <c r="G116" s="6"/>
    </row>
    <row r="117">
      <c r="A117" s="153" t="s">
        <v>153</v>
      </c>
      <c r="B117" s="136"/>
      <c r="C117" s="136"/>
      <c r="D117" s="136"/>
      <c r="E117" s="137"/>
      <c r="F117" s="154"/>
      <c r="G117" s="6"/>
    </row>
    <row r="118">
      <c r="A118" s="156" t="s">
        <v>112</v>
      </c>
      <c r="B118" s="13"/>
      <c r="C118" s="158" t="s">
        <v>116</v>
      </c>
      <c r="D118" s="13"/>
      <c r="E118" s="14"/>
      <c r="F118" s="154"/>
      <c r="G118" s="6"/>
    </row>
  </sheetData>
  <mergeCells count="88">
    <mergeCell ref="B58:E58"/>
    <mergeCell ref="B59:E59"/>
    <mergeCell ref="B61:E61"/>
    <mergeCell ref="B62:E62"/>
    <mergeCell ref="B64:E64"/>
    <mergeCell ref="B65:E65"/>
    <mergeCell ref="B67:E67"/>
    <mergeCell ref="B68:E68"/>
    <mergeCell ref="B70:E70"/>
    <mergeCell ref="B71:E71"/>
    <mergeCell ref="B73:E73"/>
    <mergeCell ref="B74:E74"/>
    <mergeCell ref="B76:E76"/>
    <mergeCell ref="B77:E77"/>
    <mergeCell ref="B89:E89"/>
    <mergeCell ref="A90:E90"/>
    <mergeCell ref="A91:E91"/>
    <mergeCell ref="A92:E92"/>
    <mergeCell ref="B94:E94"/>
    <mergeCell ref="A95:E95"/>
    <mergeCell ref="B97:E97"/>
    <mergeCell ref="A98:E98"/>
    <mergeCell ref="B100:E100"/>
    <mergeCell ref="A101:E101"/>
    <mergeCell ref="A102:E102"/>
    <mergeCell ref="A103:E103"/>
    <mergeCell ref="A104:E104"/>
    <mergeCell ref="A105:E105"/>
    <mergeCell ref="A116:B116"/>
    <mergeCell ref="A117:E117"/>
    <mergeCell ref="A118:B118"/>
    <mergeCell ref="C118:E118"/>
    <mergeCell ref="B107:E107"/>
    <mergeCell ref="A108:E108"/>
    <mergeCell ref="B110:E110"/>
    <mergeCell ref="A111:E111"/>
    <mergeCell ref="B113:E113"/>
    <mergeCell ref="A114:E114"/>
    <mergeCell ref="A115:E115"/>
    <mergeCell ref="A1:B1"/>
    <mergeCell ref="C1:E1"/>
    <mergeCell ref="A2:B2"/>
    <mergeCell ref="C2:E2"/>
    <mergeCell ref="A3:E3"/>
    <mergeCell ref="A5:E6"/>
    <mergeCell ref="A7:B7"/>
    <mergeCell ref="A8:E8"/>
    <mergeCell ref="A9:E9"/>
    <mergeCell ref="A10:E10"/>
    <mergeCell ref="B12:E12"/>
    <mergeCell ref="B13:E13"/>
    <mergeCell ref="B15:E15"/>
    <mergeCell ref="B16:E16"/>
    <mergeCell ref="B18:E18"/>
    <mergeCell ref="B19:E19"/>
    <mergeCell ref="B21:E21"/>
    <mergeCell ref="B22:E22"/>
    <mergeCell ref="B24:E24"/>
    <mergeCell ref="B25:E25"/>
    <mergeCell ref="B27:E27"/>
    <mergeCell ref="B28:E28"/>
    <mergeCell ref="B30:E30"/>
    <mergeCell ref="B31:E31"/>
    <mergeCell ref="B33:E33"/>
    <mergeCell ref="B34:E34"/>
    <mergeCell ref="B36:E36"/>
    <mergeCell ref="B37:E37"/>
    <mergeCell ref="B39:E39"/>
    <mergeCell ref="B40:E40"/>
    <mergeCell ref="A41:E41"/>
    <mergeCell ref="A42:E42"/>
    <mergeCell ref="A43:E43"/>
    <mergeCell ref="B45:E45"/>
    <mergeCell ref="A46:E46"/>
    <mergeCell ref="B48:E48"/>
    <mergeCell ref="A49:E49"/>
    <mergeCell ref="B51:E51"/>
    <mergeCell ref="A52:E52"/>
    <mergeCell ref="A53:E53"/>
    <mergeCell ref="B55:E55"/>
    <mergeCell ref="B56:E56"/>
    <mergeCell ref="B79:E79"/>
    <mergeCell ref="B80:E80"/>
    <mergeCell ref="B82:E82"/>
    <mergeCell ref="B83:E83"/>
    <mergeCell ref="B85:E85"/>
    <mergeCell ref="B86:E86"/>
    <mergeCell ref="B88:E88"/>
  </mergeCells>
  <hyperlinks>
    <hyperlink r:id="rId1" ref="B11"/>
    <hyperlink r:id="rId2" ref="B14"/>
    <hyperlink r:id="rId3" ref="A16"/>
    <hyperlink r:id="rId4" ref="B17"/>
    <hyperlink r:id="rId5" ref="B20"/>
    <hyperlink r:id="rId6" ref="B23"/>
    <hyperlink r:id="rId7" ref="B26"/>
    <hyperlink r:id="rId8" ref="B29"/>
    <hyperlink r:id="rId9" ref="B32"/>
    <hyperlink r:id="rId10" ref="B35"/>
    <hyperlink r:id="rId11" ref="B38"/>
    <hyperlink r:id="rId12" ref="B44"/>
    <hyperlink r:id="rId13" ref="B47"/>
    <hyperlink r:id="rId14" ref="B50"/>
    <hyperlink r:id="rId15" ref="B54"/>
    <hyperlink r:id="rId16" ref="B57"/>
    <hyperlink r:id="rId17" ref="B60"/>
    <hyperlink r:id="rId18" ref="B63"/>
    <hyperlink r:id="rId19" ref="B66"/>
    <hyperlink r:id="rId20" ref="B69"/>
    <hyperlink r:id="rId21" ref="B72"/>
    <hyperlink r:id="rId22" ref="B75"/>
    <hyperlink r:id="rId23" ref="B78"/>
    <hyperlink r:id="rId24" ref="B81"/>
    <hyperlink r:id="rId25" ref="B84"/>
    <hyperlink r:id="rId26" ref="B87"/>
    <hyperlink r:id="rId27" ref="B93"/>
    <hyperlink r:id="rId28" ref="B96"/>
    <hyperlink r:id="rId29" ref="B106"/>
    <hyperlink r:id="rId30" ref="B109"/>
    <hyperlink r:id="rId31" ref="B112"/>
  </hyperlinks>
  <drawing r:id="rId3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4.38"/>
    <col customWidth="1" min="2" max="2" width="16.5"/>
    <col customWidth="1" min="3" max="3" width="4.13"/>
    <col customWidth="1" min="4" max="4" width="3.63"/>
    <col customWidth="1" min="5" max="5" width="4.88"/>
    <col customWidth="1" min="6" max="6" width="6.25"/>
    <col customWidth="1" min="7" max="7" width="6.63"/>
  </cols>
  <sheetData>
    <row r="1">
      <c r="A1" s="2" t="s">
        <v>0</v>
      </c>
      <c r="B1" s="3"/>
      <c r="C1" s="4" t="str">
        <f>COUNTIF(E11:E112,"W")&amp;"-"&amp;COUNTIF(E11:E112,"L")&amp;"-"&amp;COUNTIF(E11:E112,"T")&amp;"-"&amp;COUNTIF(E11:E112,"OTL")</f>
        <v>11-12-1-2</v>
      </c>
      <c r="D1" s="3"/>
      <c r="E1" s="5"/>
      <c r="F1" s="6"/>
      <c r="G1" s="7"/>
    </row>
    <row r="2">
      <c r="A2" s="9" t="s">
        <v>1</v>
      </c>
      <c r="C2" s="10" t="str">
        <f>COUNTIF(G11:G96,"W")&amp;"-"&amp;COUNTIF(G11:G96,"L")&amp;"-"&amp;COUNTIF(G11:G96,"T")&amp;"-"&amp;COUNTIF(G11:G96,"OTL")</f>
        <v>2-8-0-2</v>
      </c>
      <c r="E2" s="11"/>
      <c r="F2" s="6"/>
      <c r="G2" s="6"/>
    </row>
    <row r="3">
      <c r="A3" s="12" t="s">
        <v>2</v>
      </c>
      <c r="B3" s="13"/>
      <c r="C3" s="13"/>
      <c r="D3" s="13"/>
      <c r="E3" s="14"/>
      <c r="F3" s="6"/>
      <c r="G3" s="6"/>
    </row>
    <row r="4">
      <c r="A4" s="16"/>
      <c r="B4" s="17"/>
      <c r="C4" s="16"/>
      <c r="D4" s="16"/>
      <c r="E4" s="18"/>
      <c r="F4" s="19" t="s">
        <v>3</v>
      </c>
      <c r="G4" s="20" t="s">
        <v>4</v>
      </c>
    </row>
    <row r="5">
      <c r="A5" s="21" t="s">
        <v>142</v>
      </c>
      <c r="B5" s="22"/>
      <c r="C5" s="22"/>
      <c r="D5" s="22"/>
      <c r="E5" s="23"/>
      <c r="F5" s="24"/>
      <c r="G5" s="6"/>
    </row>
    <row r="6">
      <c r="A6" s="25"/>
      <c r="B6" s="26"/>
      <c r="C6" s="26"/>
      <c r="D6" s="26"/>
      <c r="E6" s="27"/>
      <c r="F6" s="24"/>
      <c r="G6" s="6"/>
    </row>
    <row r="7">
      <c r="A7" s="29" t="s">
        <v>7</v>
      </c>
      <c r="C7" s="30" t="s">
        <v>8</v>
      </c>
      <c r="D7" s="30" t="s">
        <v>9</v>
      </c>
      <c r="E7" s="31" t="s">
        <v>10</v>
      </c>
      <c r="F7" s="6"/>
      <c r="G7" s="6"/>
    </row>
    <row r="8">
      <c r="A8" s="79" t="s">
        <v>11</v>
      </c>
      <c r="E8" s="11"/>
      <c r="F8" s="34"/>
      <c r="G8" s="34"/>
    </row>
    <row r="9">
      <c r="A9" s="35" t="s">
        <v>12</v>
      </c>
      <c r="E9" s="11"/>
      <c r="F9" s="34"/>
      <c r="G9" s="34"/>
    </row>
    <row r="10">
      <c r="A10" s="177"/>
      <c r="B10" s="136"/>
      <c r="C10" s="136"/>
      <c r="D10" s="136"/>
      <c r="E10" s="137"/>
      <c r="F10" s="34"/>
      <c r="G10" s="34"/>
    </row>
    <row r="11">
      <c r="A11" s="39" t="s">
        <v>13</v>
      </c>
      <c r="B11" s="179" t="str">
        <f>HYPERLINK("https://gamesheet.app/seasons/1730/stats/games/1157488/box-score", "Box Score")</f>
        <v>Box Score</v>
      </c>
      <c r="C11" s="41">
        <v>13.0</v>
      </c>
      <c r="D11" s="41">
        <v>1.0</v>
      </c>
      <c r="E11" s="41" t="s">
        <v>19</v>
      </c>
      <c r="F11" s="34"/>
      <c r="G11" s="42"/>
    </row>
    <row r="12">
      <c r="A12" s="52">
        <v>23.0</v>
      </c>
      <c r="B12" s="44" t="s">
        <v>146</v>
      </c>
      <c r="E12" s="11"/>
      <c r="F12" s="34"/>
      <c r="G12" s="42"/>
    </row>
    <row r="13">
      <c r="A13" s="181" t="s">
        <v>42</v>
      </c>
      <c r="B13" s="46" t="s">
        <v>16</v>
      </c>
      <c r="C13" s="13"/>
      <c r="D13" s="13"/>
      <c r="E13" s="14"/>
      <c r="F13" s="182"/>
      <c r="G13" s="59"/>
    </row>
    <row r="14">
      <c r="A14" s="57" t="s">
        <v>13</v>
      </c>
      <c r="B14" s="72" t="str">
        <f>HYPERLINK("https://gamesheet.app/seasons/1730/stats/games/1140902/box-score", "Box Score")</f>
        <v>Box Score</v>
      </c>
      <c r="C14" s="41">
        <v>0.0</v>
      </c>
      <c r="D14" s="41">
        <v>7.0</v>
      </c>
      <c r="E14" s="41" t="s">
        <v>26</v>
      </c>
      <c r="F14" s="34"/>
      <c r="G14" s="42" t="s">
        <v>26</v>
      </c>
    </row>
    <row r="15">
      <c r="A15" s="52">
        <v>25.0</v>
      </c>
      <c r="B15" s="44" t="s">
        <v>63</v>
      </c>
      <c r="E15" s="11"/>
      <c r="F15" s="50"/>
      <c r="G15" s="42"/>
    </row>
    <row r="16">
      <c r="A16" s="80" t="s">
        <v>42</v>
      </c>
      <c r="B16" s="46" t="s">
        <v>150</v>
      </c>
      <c r="C16" s="13"/>
      <c r="D16" s="13"/>
      <c r="E16" s="14"/>
      <c r="F16" s="58"/>
      <c r="G16" s="59"/>
    </row>
    <row r="17">
      <c r="A17" s="57" t="s">
        <v>13</v>
      </c>
      <c r="B17" s="65" t="str">
        <f>HYPERLINK("https://gamesheetstats.com/seasons/1730/games/1141460?utm_campaign=post_game_report&amp;utm_content=view_box_score&amp;utm_medium=email&amp;utm_source=post_game", "Box Score")</f>
        <v>Box Score</v>
      </c>
      <c r="C17" s="41">
        <v>1.0</v>
      </c>
      <c r="D17" s="41">
        <v>7.0</v>
      </c>
      <c r="E17" s="41" t="s">
        <v>26</v>
      </c>
      <c r="F17" s="50"/>
      <c r="G17" s="42" t="s">
        <v>26</v>
      </c>
    </row>
    <row r="18">
      <c r="A18" s="104">
        <v>30.0</v>
      </c>
      <c r="B18" s="44" t="s">
        <v>94</v>
      </c>
      <c r="E18" s="11"/>
      <c r="F18" s="50"/>
      <c r="G18" s="42"/>
    </row>
    <row r="19">
      <c r="A19" s="69"/>
      <c r="B19" s="93" t="s">
        <v>50</v>
      </c>
      <c r="C19" s="13"/>
      <c r="D19" s="13"/>
      <c r="E19" s="14"/>
      <c r="F19" s="50"/>
      <c r="G19" s="42"/>
    </row>
    <row r="20">
      <c r="A20" s="57" t="s">
        <v>17</v>
      </c>
      <c r="B20" s="65" t="s">
        <v>14</v>
      </c>
      <c r="C20" s="41">
        <v>9.0</v>
      </c>
      <c r="D20" s="41">
        <v>1.0</v>
      </c>
      <c r="E20" s="41" t="s">
        <v>19</v>
      </c>
      <c r="F20" s="50"/>
      <c r="G20" s="42"/>
    </row>
    <row r="21">
      <c r="A21" s="75">
        <v>2.0</v>
      </c>
      <c r="B21" s="44" t="s">
        <v>152</v>
      </c>
      <c r="E21" s="11"/>
      <c r="F21" s="50"/>
      <c r="G21" s="42"/>
    </row>
    <row r="22">
      <c r="A22" s="80" t="s">
        <v>42</v>
      </c>
      <c r="B22" s="46" t="s">
        <v>16</v>
      </c>
      <c r="C22" s="13"/>
      <c r="D22" s="13"/>
      <c r="E22" s="14"/>
      <c r="F22" s="58"/>
      <c r="G22" s="59"/>
    </row>
    <row r="23">
      <c r="A23" s="57" t="s">
        <v>17</v>
      </c>
      <c r="B23" s="72" t="str">
        <f>HYPERLINK("https://gamesheetstats.com/seasons/1730/games/1140906?utm_campaign=post_game_report&amp;utm_content=view_box_score&amp;utm_medium=email&amp;utm_source=post_game", "Box Score")</f>
        <v>Box Score</v>
      </c>
      <c r="C23" s="41">
        <v>6.0</v>
      </c>
      <c r="D23" s="41">
        <v>7.0</v>
      </c>
      <c r="E23" s="41" t="s">
        <v>48</v>
      </c>
      <c r="F23" s="50"/>
      <c r="G23" s="42" t="s">
        <v>48</v>
      </c>
    </row>
    <row r="24">
      <c r="A24" s="75">
        <v>8.0</v>
      </c>
      <c r="B24" s="60" t="s">
        <v>63</v>
      </c>
      <c r="E24" s="11"/>
      <c r="F24" s="50"/>
      <c r="G24" s="42"/>
    </row>
    <row r="25">
      <c r="A25" s="69"/>
      <c r="B25" s="93" t="s">
        <v>150</v>
      </c>
      <c r="C25" s="13"/>
      <c r="D25" s="13"/>
      <c r="E25" s="14"/>
      <c r="F25" s="50"/>
      <c r="G25" s="42"/>
    </row>
    <row r="26">
      <c r="A26" s="57" t="s">
        <v>17</v>
      </c>
      <c r="B26" s="65" t="str">
        <f>HYPERLINK("https://gamesheetstats.com/seasons/1730/games/1157490?utm_campaign=post_game_report&amp;utm_content=view_box_score&amp;utm_medium=email&amp;utm_source=post_game", "Box Score")</f>
        <v>Box Score</v>
      </c>
      <c r="C26" s="41">
        <v>1.0</v>
      </c>
      <c r="D26" s="41">
        <v>4.0</v>
      </c>
      <c r="E26" s="41" t="s">
        <v>26</v>
      </c>
      <c r="F26" s="50"/>
      <c r="G26" s="42"/>
    </row>
    <row r="27">
      <c r="A27" s="75">
        <v>9.0</v>
      </c>
      <c r="B27" s="60" t="s">
        <v>154</v>
      </c>
      <c r="E27" s="11"/>
      <c r="F27" s="50"/>
      <c r="G27" s="42"/>
    </row>
    <row r="28">
      <c r="A28" s="80" t="s">
        <v>42</v>
      </c>
      <c r="B28" s="46" t="s">
        <v>16</v>
      </c>
      <c r="C28" s="13"/>
      <c r="D28" s="13"/>
      <c r="E28" s="14"/>
      <c r="F28" s="58"/>
      <c r="G28" s="59"/>
    </row>
    <row r="29">
      <c r="A29" s="57" t="s">
        <v>17</v>
      </c>
      <c r="B29" s="72" t="str">
        <f>HYPERLINK("https://gamesheetstats.com/seasons/1730/games/1157491?utm_campaign=post_game_report&amp;utm_content=view_box_score&amp;utm_medium=email&amp;utm_source=post_game", "Box Score")</f>
        <v>Box Score</v>
      </c>
      <c r="C29" s="41">
        <v>4.0</v>
      </c>
      <c r="D29" s="41">
        <v>5.0</v>
      </c>
      <c r="E29" s="41" t="s">
        <v>48</v>
      </c>
      <c r="F29" s="50"/>
      <c r="G29" s="42" t="s">
        <v>48</v>
      </c>
    </row>
    <row r="30">
      <c r="A30" s="75">
        <v>16.0</v>
      </c>
      <c r="B30" s="60" t="s">
        <v>38</v>
      </c>
      <c r="E30" s="11"/>
      <c r="F30" s="50"/>
      <c r="G30" s="42"/>
    </row>
    <row r="31">
      <c r="A31" s="80" t="s">
        <v>42</v>
      </c>
      <c r="B31" s="46" t="s">
        <v>16</v>
      </c>
      <c r="C31" s="13"/>
      <c r="D31" s="13"/>
      <c r="E31" s="14"/>
      <c r="F31" s="58"/>
      <c r="G31" s="59"/>
    </row>
    <row r="32">
      <c r="A32" s="57" t="s">
        <v>17</v>
      </c>
      <c r="B32" s="65" t="str">
        <f>HYPERLINK("https://gamesheetstats.com/seasons/1730/games/1151586?utm_campaign=post_game_report&amp;utm_content=view_box_score&amp;utm_medium=email&amp;utm_source=post_game", "Box Score")</f>
        <v>Box Score</v>
      </c>
      <c r="C32" s="41">
        <v>4.0</v>
      </c>
      <c r="D32" s="41">
        <v>3.0</v>
      </c>
      <c r="E32" s="41" t="s">
        <v>19</v>
      </c>
      <c r="F32" s="42" t="s">
        <v>40</v>
      </c>
      <c r="G32" s="42"/>
    </row>
    <row r="33">
      <c r="A33" s="104">
        <v>22.0</v>
      </c>
      <c r="B33" s="44" t="s">
        <v>157</v>
      </c>
      <c r="E33" s="11"/>
      <c r="F33" s="50"/>
      <c r="G33" s="42"/>
    </row>
    <row r="34">
      <c r="A34" s="80" t="s">
        <v>42</v>
      </c>
      <c r="B34" s="46" t="s">
        <v>107</v>
      </c>
      <c r="C34" s="13"/>
      <c r="D34" s="13"/>
      <c r="E34" s="14"/>
      <c r="F34" s="58"/>
      <c r="G34" s="59"/>
    </row>
    <row r="35">
      <c r="A35" s="57" t="s">
        <v>17</v>
      </c>
      <c r="B35" s="65" t="str">
        <f>HYPERLINK("https://gamesheetstats.com/seasons/1730/games/1157492?utm_campaign=post_game_report&amp;utm_content=view_box_score&amp;utm_medium=email&amp;utm_source=post_game", "Box Score")</f>
        <v>Box Score</v>
      </c>
      <c r="C35" s="41">
        <v>7.0</v>
      </c>
      <c r="D35" s="41">
        <v>5.0</v>
      </c>
      <c r="E35" s="41" t="s">
        <v>19</v>
      </c>
      <c r="F35" s="50"/>
      <c r="G35" s="42"/>
    </row>
    <row r="36">
      <c r="A36" s="75">
        <v>23.0</v>
      </c>
      <c r="B36" s="44" t="s">
        <v>160</v>
      </c>
      <c r="E36" s="11"/>
      <c r="F36" s="50"/>
      <c r="G36" s="42"/>
    </row>
    <row r="37">
      <c r="A37" s="80" t="s">
        <v>42</v>
      </c>
      <c r="B37" s="46" t="s">
        <v>16</v>
      </c>
      <c r="C37" s="13"/>
      <c r="D37" s="13"/>
      <c r="E37" s="14"/>
      <c r="F37" s="58"/>
      <c r="G37" s="59"/>
    </row>
    <row r="38">
      <c r="A38" s="57" t="s">
        <v>17</v>
      </c>
      <c r="B38" s="72" t="str">
        <f>HYPERLINK("https://gamesheetstats.com/seasons/1730/games/1157493?utm_campaign=post_game_report&amp;utm_content=view_box_score&amp;utm_medium=email&amp;utm_source=post_game", "Box Score")</f>
        <v>Box Score</v>
      </c>
      <c r="C38" s="41">
        <v>6.0</v>
      </c>
      <c r="D38" s="41">
        <v>3.0</v>
      </c>
      <c r="E38" s="41" t="s">
        <v>19</v>
      </c>
      <c r="F38" s="50"/>
      <c r="G38" s="42" t="s">
        <v>19</v>
      </c>
    </row>
    <row r="39">
      <c r="A39" s="75">
        <v>30.0</v>
      </c>
      <c r="B39" s="60" t="s">
        <v>100</v>
      </c>
      <c r="E39" s="11"/>
      <c r="F39" s="50"/>
      <c r="G39" s="42"/>
    </row>
    <row r="40">
      <c r="A40" s="80" t="s">
        <v>42</v>
      </c>
      <c r="B40" s="46" t="s">
        <v>16</v>
      </c>
      <c r="C40" s="13"/>
      <c r="D40" s="13"/>
      <c r="E40" s="14"/>
      <c r="F40" s="58"/>
      <c r="G40" s="59"/>
    </row>
    <row r="41">
      <c r="A41" s="57" t="s">
        <v>34</v>
      </c>
      <c r="B41" s="65" t="str">
        <f>HYPERLINK("https://gamesheetstats.com/seasons/1730/games/1157494?utm_campaign=post_game_report&amp;utm_content=view_box_score&amp;utm_medium=email&amp;utm_source=post_game", "Box Score")</f>
        <v>Box Score</v>
      </c>
      <c r="C41" s="41">
        <v>5.0</v>
      </c>
      <c r="D41" s="41">
        <v>10.0</v>
      </c>
      <c r="E41" s="41" t="s">
        <v>26</v>
      </c>
      <c r="F41" s="50"/>
      <c r="G41" s="42" t="s">
        <v>26</v>
      </c>
    </row>
    <row r="42">
      <c r="A42" s="75">
        <v>6.0</v>
      </c>
      <c r="B42" s="60" t="s">
        <v>75</v>
      </c>
      <c r="E42" s="11"/>
      <c r="F42" s="50"/>
      <c r="G42" s="42"/>
    </row>
    <row r="43">
      <c r="A43" s="80" t="s">
        <v>42</v>
      </c>
      <c r="B43" s="46" t="s">
        <v>16</v>
      </c>
      <c r="C43" s="13"/>
      <c r="D43" s="13"/>
      <c r="E43" s="14"/>
      <c r="F43" s="58"/>
      <c r="G43" s="59"/>
    </row>
    <row r="44">
      <c r="A44" s="57" t="s">
        <v>34</v>
      </c>
      <c r="B44" s="72" t="str">
        <f>HYPERLINK("https://gamesheetstats.com/seasons/1730/games/1157495?filter%5Bquery%5D=Fordham", "Box Score")</f>
        <v>Box Score</v>
      </c>
      <c r="C44" s="41">
        <v>6.0</v>
      </c>
      <c r="D44" s="41">
        <v>1.0</v>
      </c>
      <c r="E44" s="41" t="s">
        <v>19</v>
      </c>
      <c r="F44" s="50"/>
      <c r="G44" s="42"/>
    </row>
    <row r="45">
      <c r="A45" s="75">
        <v>11.0</v>
      </c>
      <c r="B45" s="60" t="s">
        <v>164</v>
      </c>
      <c r="E45" s="11"/>
      <c r="F45" s="50"/>
      <c r="G45" s="42"/>
    </row>
    <row r="46">
      <c r="A46" s="80" t="s">
        <v>42</v>
      </c>
      <c r="B46" s="46" t="s">
        <v>16</v>
      </c>
      <c r="C46" s="13"/>
      <c r="D46" s="13"/>
      <c r="E46" s="14"/>
      <c r="F46" s="58"/>
      <c r="G46" s="59"/>
    </row>
    <row r="47">
      <c r="A47" s="155"/>
      <c r="E47" s="11"/>
      <c r="F47" s="50"/>
      <c r="G47" s="42"/>
    </row>
    <row r="48">
      <c r="A48" s="157" t="s">
        <v>114</v>
      </c>
      <c r="B48" s="132"/>
      <c r="C48" s="132"/>
      <c r="D48" s="132"/>
      <c r="E48" s="133"/>
      <c r="F48" s="50"/>
      <c r="G48" s="42"/>
    </row>
    <row r="49">
      <c r="A49" s="159" t="s">
        <v>121</v>
      </c>
      <c r="E49" s="11"/>
      <c r="F49" s="50"/>
      <c r="G49" s="42"/>
    </row>
    <row r="50">
      <c r="A50" s="160" t="s">
        <v>34</v>
      </c>
      <c r="B50" s="161" t="str">
        <f>HYPERLINK("https://gamesheetstats.com/seasons/1730/games/1243675?utm_campaign=post_game_report&amp;utm_content=view_box_score&amp;utm_medium=email&amp;utm_source=post_game", "Box Score")</f>
        <v>Box Score</v>
      </c>
      <c r="C50" s="90">
        <v>6.0</v>
      </c>
      <c r="D50" s="90">
        <v>3.0</v>
      </c>
      <c r="E50" s="90" t="s">
        <v>19</v>
      </c>
      <c r="F50" s="50"/>
      <c r="G50" s="42"/>
    </row>
    <row r="51">
      <c r="A51" s="162">
        <v>18.0</v>
      </c>
      <c r="B51" s="210" t="s">
        <v>167</v>
      </c>
      <c r="E51" s="11"/>
      <c r="F51" s="42"/>
      <c r="G51" s="42"/>
    </row>
    <row r="52">
      <c r="A52" s="212" t="s">
        <v>42</v>
      </c>
      <c r="B52" s="13"/>
      <c r="C52" s="13"/>
      <c r="D52" s="13"/>
      <c r="E52" s="14"/>
      <c r="F52" s="59"/>
      <c r="G52" s="59"/>
    </row>
    <row r="53">
      <c r="A53" s="160" t="s">
        <v>34</v>
      </c>
      <c r="B53" s="213" t="str">
        <f>HYPERLINK("https://gamesheetstats.com/seasons/1730/games/1180715?utm_campaign=post_game_report&amp;utm_content=view_box_score&amp;utm_medium=email&amp;utm_source=post_game", "Box Score")</f>
        <v>Box Score</v>
      </c>
      <c r="C53" s="90">
        <v>3.0</v>
      </c>
      <c r="D53" s="90">
        <v>6.0</v>
      </c>
      <c r="E53" s="90" t="s">
        <v>26</v>
      </c>
      <c r="F53" s="42"/>
      <c r="G53" s="42"/>
    </row>
    <row r="54">
      <c r="A54" s="162">
        <v>19.0</v>
      </c>
      <c r="B54" s="210" t="s">
        <v>171</v>
      </c>
      <c r="E54" s="11"/>
      <c r="F54" s="42"/>
      <c r="G54" s="42"/>
    </row>
    <row r="55">
      <c r="A55" s="212" t="s">
        <v>42</v>
      </c>
      <c r="B55" s="13"/>
      <c r="C55" s="13"/>
      <c r="D55" s="13"/>
      <c r="E55" s="14"/>
      <c r="F55" s="59"/>
      <c r="G55" s="59"/>
    </row>
    <row r="56">
      <c r="A56" s="165" t="s">
        <v>34</v>
      </c>
      <c r="B56" s="99" t="str">
        <f>HYPERLINK("https://gamesheetstats.com/seasons/1730/games/1255611?utm_campaign=post_game_report&amp;utm_content=view_box_score&amp;utm_medium=email&amp;utm_source=post_game", "Box Score")</f>
        <v>Box Score</v>
      </c>
      <c r="C56" s="90">
        <v>7.0</v>
      </c>
      <c r="D56" s="90">
        <v>5.0</v>
      </c>
      <c r="E56" s="90" t="s">
        <v>19</v>
      </c>
      <c r="F56" s="34"/>
      <c r="G56" s="42"/>
    </row>
    <row r="57">
      <c r="A57" s="162">
        <v>20.0</v>
      </c>
      <c r="B57" s="210" t="s">
        <v>172</v>
      </c>
      <c r="E57" s="11"/>
      <c r="F57" s="34"/>
      <c r="G57" s="42"/>
    </row>
    <row r="58">
      <c r="A58" s="216" t="s">
        <v>42</v>
      </c>
      <c r="E58" s="11"/>
      <c r="F58" s="182"/>
      <c r="G58" s="59"/>
    </row>
    <row r="59">
      <c r="A59" s="187"/>
      <c r="B59" s="136"/>
      <c r="C59" s="136"/>
      <c r="D59" s="136"/>
      <c r="E59" s="137"/>
      <c r="F59" s="34"/>
      <c r="G59" s="42"/>
    </row>
    <row r="60">
      <c r="A60" s="168" t="s">
        <v>61</v>
      </c>
      <c r="B60" s="174" t="str">
        <f>HYPERLINK("https://gamesheetstats.com/seasons/1730/games/1151708?utm_campaign=post_game_report&amp;utm_content=view_box_score&amp;utm_medium=email&amp;utm_source=post_game", "Box Score")</f>
        <v>Box Score</v>
      </c>
      <c r="C60" s="107">
        <v>2.0</v>
      </c>
      <c r="D60" s="107">
        <v>8.0</v>
      </c>
      <c r="E60" s="107" t="s">
        <v>26</v>
      </c>
      <c r="F60" s="34"/>
      <c r="G60" s="42" t="s">
        <v>26</v>
      </c>
    </row>
    <row r="61">
      <c r="A61" s="170">
        <v>4.0</v>
      </c>
      <c r="B61" s="109" t="s">
        <v>162</v>
      </c>
      <c r="E61" s="11"/>
      <c r="F61" s="34"/>
      <c r="G61" s="42"/>
    </row>
    <row r="62">
      <c r="A62" s="80" t="s">
        <v>42</v>
      </c>
      <c r="B62" s="53" t="s">
        <v>91</v>
      </c>
      <c r="C62" s="13"/>
      <c r="D62" s="13"/>
      <c r="E62" s="14"/>
      <c r="F62" s="182"/>
      <c r="G62" s="59"/>
    </row>
    <row r="63">
      <c r="A63" s="168" t="s">
        <v>68</v>
      </c>
      <c r="B63" s="174" t="str">
        <f>HYPERLINK("https://gamesheetstats.com/seasons/1730/games/1157496?utm_campaign=post_game_report&amp;utm_content=view_box_score&amp;utm_medium=email&amp;utm_source=post_game", "Box Score")</f>
        <v>Box Score</v>
      </c>
      <c r="C63" s="107">
        <v>2.0</v>
      </c>
      <c r="D63" s="107">
        <v>6.0</v>
      </c>
      <c r="E63" s="107" t="s">
        <v>26</v>
      </c>
      <c r="F63" s="34"/>
      <c r="G63" s="42" t="s">
        <v>26</v>
      </c>
    </row>
    <row r="64">
      <c r="A64" s="170">
        <v>28.0</v>
      </c>
      <c r="B64" s="109" t="s">
        <v>38</v>
      </c>
      <c r="E64" s="11"/>
      <c r="F64" s="34"/>
      <c r="G64" s="42"/>
    </row>
    <row r="65">
      <c r="A65" s="171"/>
      <c r="B65" s="173" t="s">
        <v>16</v>
      </c>
      <c r="C65" s="13"/>
      <c r="D65" s="13"/>
      <c r="E65" s="14"/>
      <c r="F65" s="34"/>
      <c r="G65" s="42"/>
    </row>
    <row r="66">
      <c r="A66" s="168" t="s">
        <v>74</v>
      </c>
      <c r="B66" s="174" t="str">
        <f>HYPERLINK("https://gamesheetstats.com/seasons/1730/games/1157497?utm_campaign=post_game_report&amp;utm_content=view_box_score&amp;utm_medium=email&amp;utm_source=post_game", "Box Score")</f>
        <v>Box Score</v>
      </c>
      <c r="C66" s="107">
        <v>2.0</v>
      </c>
      <c r="D66" s="107">
        <v>1.0</v>
      </c>
      <c r="E66" s="107" t="s">
        <v>19</v>
      </c>
      <c r="F66" s="34"/>
      <c r="G66" s="42" t="s">
        <v>19</v>
      </c>
    </row>
    <row r="67">
      <c r="A67" s="170">
        <v>3.0</v>
      </c>
      <c r="B67" s="109" t="s">
        <v>75</v>
      </c>
      <c r="E67" s="11"/>
      <c r="F67" s="34"/>
      <c r="G67" s="42"/>
    </row>
    <row r="68">
      <c r="A68" s="171"/>
      <c r="B68" s="173" t="s">
        <v>16</v>
      </c>
      <c r="C68" s="13"/>
      <c r="D68" s="13"/>
      <c r="E68" s="14"/>
      <c r="F68" s="34"/>
      <c r="G68" s="42"/>
    </row>
    <row r="69">
      <c r="A69" s="168" t="s">
        <v>74</v>
      </c>
      <c r="B69" s="174" t="str">
        <f>HYPERLINK("https://gamesheetstats.com/seasons/1730/games/1341319?utm_campaign=post_game_report&amp;utm_content=view_box_score&amp;utm_medium=email&amp;utm_source=post_game", "Box Score")</f>
        <v>Box Score</v>
      </c>
      <c r="C69" s="107">
        <v>2.0</v>
      </c>
      <c r="D69" s="107">
        <v>0.0</v>
      </c>
      <c r="E69" s="107" t="s">
        <v>19</v>
      </c>
      <c r="F69" s="34"/>
      <c r="G69" s="42"/>
    </row>
    <row r="70">
      <c r="A70" s="170">
        <v>4.0</v>
      </c>
      <c r="B70" s="109" t="s">
        <v>180</v>
      </c>
      <c r="E70" s="11"/>
      <c r="F70" s="34"/>
      <c r="G70" s="42"/>
    </row>
    <row r="71">
      <c r="A71" s="171"/>
      <c r="B71" s="173" t="s">
        <v>43</v>
      </c>
      <c r="C71" s="13"/>
      <c r="D71" s="13"/>
      <c r="E71" s="14"/>
      <c r="F71" s="34"/>
      <c r="G71" s="42"/>
    </row>
    <row r="72">
      <c r="A72" s="168" t="s">
        <v>74</v>
      </c>
      <c r="B72" s="174" t="str">
        <f>HYPERLINK("https://gamesheetstats.com/seasons/1730/games/1157498?utm_campaign=post_game_report&amp;utm_content=view_box_score&amp;utm_medium=email&amp;utm_source=post_game", "Box Score")</f>
        <v>Box Score</v>
      </c>
      <c r="C72" s="107">
        <v>3.0</v>
      </c>
      <c r="D72" s="107">
        <v>5.0</v>
      </c>
      <c r="E72" s="107" t="s">
        <v>26</v>
      </c>
      <c r="F72" s="42"/>
      <c r="G72" s="42" t="s">
        <v>26</v>
      </c>
    </row>
    <row r="73">
      <c r="A73" s="43">
        <v>10.0</v>
      </c>
      <c r="B73" s="118" t="s">
        <v>65</v>
      </c>
      <c r="E73" s="11"/>
      <c r="F73" s="42"/>
      <c r="G73" s="42"/>
    </row>
    <row r="74">
      <c r="A74" s="171"/>
      <c r="B74" s="173" t="s">
        <v>16</v>
      </c>
      <c r="C74" s="13"/>
      <c r="D74" s="13"/>
      <c r="E74" s="14"/>
      <c r="F74" s="42"/>
      <c r="G74" s="42"/>
    </row>
    <row r="75">
      <c r="A75" s="168" t="s">
        <v>74</v>
      </c>
      <c r="B75" s="169" t="str">
        <f>HYPERLINK("https://gamesheetstats.com/seasons/1730/games/1141473?utm_campaign=post_game_report&amp;utm_content=view_box_score&amp;utm_medium=email&amp;utm_source=post_game", "Box Score")</f>
        <v>Box Score</v>
      </c>
      <c r="C75" s="107">
        <v>0.0</v>
      </c>
      <c r="D75" s="107">
        <v>6.0</v>
      </c>
      <c r="E75" s="107" t="s">
        <v>26</v>
      </c>
      <c r="F75" s="6"/>
      <c r="G75" s="116" t="s">
        <v>26</v>
      </c>
    </row>
    <row r="76">
      <c r="A76" s="43">
        <v>18.0</v>
      </c>
      <c r="B76" s="118" t="s">
        <v>94</v>
      </c>
      <c r="E76" s="11"/>
      <c r="F76" s="6"/>
      <c r="G76" s="116"/>
    </row>
    <row r="77">
      <c r="A77" s="176"/>
      <c r="B77" s="173" t="s">
        <v>50</v>
      </c>
      <c r="C77" s="13"/>
      <c r="D77" s="13"/>
      <c r="E77" s="14"/>
      <c r="F77" s="6"/>
      <c r="G77" s="116"/>
    </row>
    <row r="78">
      <c r="A78" s="168" t="s">
        <v>74</v>
      </c>
      <c r="B78" s="169" t="str">
        <f>HYPERLINK("https://gamesheetstats.com/seasons/1730/games/1152963?utm_campaign=post_game_report&amp;utm_content=view_box_score&amp;utm_medium=email&amp;utm_source=post_game", "Box Score")</f>
        <v>Box Score</v>
      </c>
      <c r="C78" s="107">
        <v>3.0</v>
      </c>
      <c r="D78" s="107">
        <v>12.0</v>
      </c>
      <c r="E78" s="107" t="s">
        <v>26</v>
      </c>
      <c r="F78" s="6"/>
      <c r="G78" s="116" t="s">
        <v>26</v>
      </c>
    </row>
    <row r="79">
      <c r="A79" s="43">
        <v>19.0</v>
      </c>
      <c r="B79" s="118" t="s">
        <v>71</v>
      </c>
      <c r="E79" s="11"/>
      <c r="F79" s="6"/>
      <c r="G79" s="116"/>
    </row>
    <row r="80">
      <c r="A80" s="230" t="s">
        <v>42</v>
      </c>
      <c r="B80" s="53" t="s">
        <v>107</v>
      </c>
      <c r="C80" s="13"/>
      <c r="D80" s="13"/>
      <c r="E80" s="14"/>
      <c r="F80" s="231"/>
      <c r="G80" s="232"/>
    </row>
    <row r="81">
      <c r="A81" s="168" t="s">
        <v>106</v>
      </c>
      <c r="B81" s="169" t="s">
        <v>14</v>
      </c>
      <c r="C81" s="107">
        <v>5.0</v>
      </c>
      <c r="D81" s="107">
        <v>3.0</v>
      </c>
      <c r="E81" s="107" t="s">
        <v>19</v>
      </c>
      <c r="F81" s="42"/>
      <c r="G81" s="42"/>
    </row>
    <row r="82">
      <c r="A82" s="43">
        <v>4.0</v>
      </c>
      <c r="B82" s="118" t="s">
        <v>188</v>
      </c>
      <c r="E82" s="11"/>
      <c r="F82" s="42"/>
      <c r="G82" s="42"/>
    </row>
    <row r="83">
      <c r="A83" s="80" t="s">
        <v>42</v>
      </c>
      <c r="B83" s="53" t="s">
        <v>16</v>
      </c>
      <c r="C83" s="13"/>
      <c r="D83" s="13"/>
      <c r="E83" s="14"/>
      <c r="F83" s="59"/>
      <c r="G83" s="59"/>
    </row>
    <row r="84">
      <c r="A84" s="234"/>
      <c r="B84" s="136"/>
      <c r="C84" s="136"/>
      <c r="D84" s="136"/>
      <c r="E84" s="137"/>
      <c r="F84" s="6"/>
      <c r="G84" s="6"/>
    </row>
    <row r="85" hidden="1">
      <c r="A85" s="135" t="s">
        <v>190</v>
      </c>
      <c r="B85" s="136"/>
      <c r="C85" s="136"/>
      <c r="D85" s="136"/>
      <c r="E85" s="137"/>
      <c r="F85" s="126"/>
      <c r="G85" s="34"/>
    </row>
    <row r="86" hidden="1">
      <c r="A86" s="127" t="s">
        <v>92</v>
      </c>
      <c r="E86" s="11"/>
      <c r="F86" s="42"/>
      <c r="G86" s="42"/>
    </row>
    <row r="87" hidden="1">
      <c r="A87" s="168" t="s">
        <v>74</v>
      </c>
      <c r="B87" s="120"/>
      <c r="C87" s="128"/>
      <c r="D87" s="128"/>
      <c r="E87" s="128"/>
      <c r="F87" s="42"/>
      <c r="G87" s="42"/>
    </row>
    <row r="88" hidden="1">
      <c r="A88" s="235">
        <v>24.0</v>
      </c>
      <c r="B88" s="109" t="s">
        <v>92</v>
      </c>
      <c r="E88" s="105"/>
      <c r="F88" s="116"/>
      <c r="G88" s="116"/>
    </row>
    <row r="89" hidden="1">
      <c r="A89" s="180" t="s">
        <v>95</v>
      </c>
      <c r="B89" s="13"/>
      <c r="C89" s="13"/>
      <c r="D89" s="13"/>
      <c r="E89" s="14"/>
      <c r="F89" s="116"/>
      <c r="G89" s="116"/>
    </row>
    <row r="90" hidden="1">
      <c r="A90" s="168" t="s">
        <v>74</v>
      </c>
      <c r="B90" s="120"/>
      <c r="C90" s="107"/>
      <c r="D90" s="107"/>
      <c r="E90" s="107"/>
      <c r="F90" s="116"/>
      <c r="G90" s="116"/>
    </row>
    <row r="91" hidden="1">
      <c r="A91" s="170">
        <v>25.0</v>
      </c>
      <c r="B91" s="109" t="s">
        <v>92</v>
      </c>
      <c r="E91" s="11"/>
      <c r="F91" s="116"/>
      <c r="G91" s="116"/>
    </row>
    <row r="92" hidden="1">
      <c r="A92" s="180" t="s">
        <v>96</v>
      </c>
      <c r="B92" s="13"/>
      <c r="C92" s="13"/>
      <c r="D92" s="13"/>
      <c r="E92" s="14"/>
      <c r="F92" s="116"/>
      <c r="G92" s="116"/>
    </row>
    <row r="93" hidden="1">
      <c r="A93" s="168" t="s">
        <v>74</v>
      </c>
      <c r="B93" s="120"/>
      <c r="C93" s="107"/>
      <c r="D93" s="107"/>
      <c r="E93" s="107"/>
      <c r="F93" s="116"/>
      <c r="G93" s="116"/>
    </row>
    <row r="94" hidden="1">
      <c r="A94" s="170">
        <v>26.0</v>
      </c>
      <c r="B94" s="109" t="s">
        <v>92</v>
      </c>
      <c r="E94" s="11"/>
      <c r="F94" s="116"/>
      <c r="G94" s="116"/>
    </row>
    <row r="95" hidden="1">
      <c r="A95" s="238" t="s">
        <v>99</v>
      </c>
      <c r="E95" s="11"/>
      <c r="F95" s="116"/>
      <c r="G95" s="116"/>
    </row>
    <row r="96" hidden="1">
      <c r="A96" s="239"/>
      <c r="B96" s="136"/>
      <c r="C96" s="136"/>
      <c r="D96" s="136"/>
      <c r="E96" s="137"/>
      <c r="F96" s="116"/>
      <c r="G96" s="116"/>
    </row>
    <row r="97">
      <c r="A97" s="135" t="s">
        <v>193</v>
      </c>
      <c r="B97" s="136"/>
      <c r="C97" s="136"/>
      <c r="D97" s="136"/>
      <c r="E97" s="137"/>
      <c r="F97" s="19"/>
      <c r="G97" s="116"/>
    </row>
    <row r="98">
      <c r="A98" s="139" t="s">
        <v>195</v>
      </c>
      <c r="E98" s="11"/>
      <c r="F98" s="19"/>
      <c r="G98" s="116"/>
    </row>
    <row r="99">
      <c r="A99" s="141" t="s">
        <v>47</v>
      </c>
      <c r="B99" s="13"/>
      <c r="C99" s="13"/>
      <c r="D99" s="13"/>
      <c r="E99" s="14"/>
      <c r="F99" s="19"/>
      <c r="G99" s="116"/>
    </row>
    <row r="100">
      <c r="A100" s="168" t="s">
        <v>106</v>
      </c>
      <c r="B100" s="169" t="str">
        <f>HYPERLINK("https://gamesheetstats.com/seasons/3211/games/1372204?utm_source=post_game&amp;utm_medium=email&amp;utm_campaign=post_game_report&amp;utm_content=view_box_score", "Box Score")</f>
        <v>Box Score</v>
      </c>
      <c r="C100" s="107">
        <v>3.0</v>
      </c>
      <c r="D100" s="107">
        <v>3.0</v>
      </c>
      <c r="E100" s="107" t="s">
        <v>73</v>
      </c>
      <c r="F100" s="19"/>
      <c r="G100" s="116"/>
    </row>
    <row r="101">
      <c r="A101" s="170">
        <v>10.0</v>
      </c>
      <c r="B101" s="109" t="s">
        <v>196</v>
      </c>
      <c r="E101" s="11"/>
      <c r="F101" s="19"/>
      <c r="G101" s="116"/>
    </row>
    <row r="102">
      <c r="A102" s="180"/>
      <c r="B102" s="13"/>
      <c r="C102" s="13"/>
      <c r="D102" s="13"/>
      <c r="E102" s="14"/>
      <c r="F102" s="19"/>
      <c r="G102" s="116"/>
    </row>
    <row r="103">
      <c r="A103" s="185" t="s">
        <v>106</v>
      </c>
      <c r="B103" s="224" t="str">
        <f>HYPERLINK("https://gamesheetstats.com/seasons/3211/games/1372313?utm_source=post_game&amp;utm_medium=email&amp;utm_campaign=post_game_report&amp;utm_content=view_box_score", "Box Score")</f>
        <v>Box Score</v>
      </c>
      <c r="C103" s="107">
        <v>0.0</v>
      </c>
      <c r="D103" s="107">
        <v>4.0</v>
      </c>
      <c r="E103" s="107" t="s">
        <v>26</v>
      </c>
      <c r="F103" s="19"/>
      <c r="G103" s="116"/>
    </row>
    <row r="104">
      <c r="A104" s="170">
        <v>11.0</v>
      </c>
      <c r="B104" s="109" t="s">
        <v>197</v>
      </c>
      <c r="E104" s="11"/>
      <c r="F104" s="19"/>
      <c r="G104" s="116"/>
    </row>
    <row r="105">
      <c r="A105" s="180"/>
      <c r="B105" s="13"/>
      <c r="C105" s="13"/>
      <c r="D105" s="13"/>
      <c r="E105" s="14"/>
      <c r="F105" s="19"/>
      <c r="G105" s="116"/>
    </row>
    <row r="106">
      <c r="A106" s="185" t="s">
        <v>106</v>
      </c>
      <c r="B106" s="224" t="str">
        <f>HYPERLINK("https://gamesheetstats.com/seasons/3211/games/1376809?utm_source=post_game&amp;utm_medium=email&amp;utm_campaign=post_game_report&amp;utm_content=view_box_score", "Forfeit")</f>
        <v>Forfeit</v>
      </c>
      <c r="C106" s="107"/>
      <c r="D106" s="107"/>
      <c r="E106" s="107" t="s">
        <v>26</v>
      </c>
      <c r="F106" s="19"/>
      <c r="G106" s="116"/>
    </row>
    <row r="107">
      <c r="A107" s="170">
        <v>12.0</v>
      </c>
      <c r="B107" s="109" t="s">
        <v>199</v>
      </c>
      <c r="E107" s="11"/>
      <c r="F107" s="19"/>
      <c r="G107" s="116"/>
    </row>
    <row r="108">
      <c r="A108" s="180"/>
      <c r="B108" s="13"/>
      <c r="C108" s="13"/>
      <c r="D108" s="13"/>
      <c r="E108" s="14"/>
      <c r="F108" s="19"/>
      <c r="G108" s="116"/>
    </row>
    <row r="109" hidden="1">
      <c r="A109" s="185"/>
      <c r="C109" s="107"/>
      <c r="D109" s="107"/>
      <c r="E109" s="107"/>
      <c r="F109" s="19"/>
      <c r="G109" s="116"/>
    </row>
    <row r="110" hidden="1">
      <c r="A110" s="170"/>
      <c r="B110" s="109"/>
      <c r="E110" s="11"/>
      <c r="F110" s="19"/>
      <c r="G110" s="116"/>
    </row>
    <row r="111" hidden="1">
      <c r="A111" s="246"/>
      <c r="E111" s="11"/>
      <c r="F111" s="19"/>
      <c r="G111" s="116"/>
    </row>
    <row r="112">
      <c r="A112" s="187"/>
      <c r="B112" s="136"/>
      <c r="C112" s="136"/>
      <c r="D112" s="136"/>
      <c r="E112" s="137"/>
      <c r="F112" s="19"/>
      <c r="G112" s="116"/>
    </row>
    <row r="113">
      <c r="A113" s="149" t="s">
        <v>108</v>
      </c>
      <c r="C113" s="151">
        <f t="shared" ref="C113:D113" si="1">SUM(C11:C112)</f>
        <v>100</v>
      </c>
      <c r="D113" s="151">
        <f t="shared" si="1"/>
        <v>116</v>
      </c>
      <c r="E113" s="152"/>
      <c r="F113" s="6"/>
      <c r="G113" s="6"/>
    </row>
    <row r="114">
      <c r="A114" s="156" t="s">
        <v>112</v>
      </c>
      <c r="B114" s="13"/>
      <c r="C114" s="158" t="s">
        <v>116</v>
      </c>
      <c r="D114" s="13"/>
      <c r="E114" s="14"/>
      <c r="F114" s="154"/>
      <c r="G114" s="6"/>
    </row>
  </sheetData>
  <mergeCells count="86">
    <mergeCell ref="B68:E68"/>
    <mergeCell ref="B70:E70"/>
    <mergeCell ref="B71:E71"/>
    <mergeCell ref="B73:E73"/>
    <mergeCell ref="B74:E74"/>
    <mergeCell ref="B76:E76"/>
    <mergeCell ref="B77:E77"/>
    <mergeCell ref="B79:E79"/>
    <mergeCell ref="B80:E80"/>
    <mergeCell ref="B82:E82"/>
    <mergeCell ref="B83:E83"/>
    <mergeCell ref="A84:E84"/>
    <mergeCell ref="A85:E85"/>
    <mergeCell ref="A86:E86"/>
    <mergeCell ref="B88:E88"/>
    <mergeCell ref="A89:E89"/>
    <mergeCell ref="B91:E91"/>
    <mergeCell ref="A92:E92"/>
    <mergeCell ref="B94:E94"/>
    <mergeCell ref="A95:E95"/>
    <mergeCell ref="A96:E96"/>
    <mergeCell ref="A97:E97"/>
    <mergeCell ref="A98:E98"/>
    <mergeCell ref="A99:E99"/>
    <mergeCell ref="B101:E101"/>
    <mergeCell ref="A102:E102"/>
    <mergeCell ref="B104:E104"/>
    <mergeCell ref="A105:E105"/>
    <mergeCell ref="A114:B114"/>
    <mergeCell ref="C114:E114"/>
    <mergeCell ref="B107:E107"/>
    <mergeCell ref="A108:E108"/>
    <mergeCell ref="A109:B109"/>
    <mergeCell ref="B110:E110"/>
    <mergeCell ref="A111:E111"/>
    <mergeCell ref="A112:E112"/>
    <mergeCell ref="A113:B113"/>
    <mergeCell ref="A1:B1"/>
    <mergeCell ref="C1:E1"/>
    <mergeCell ref="A2:B2"/>
    <mergeCell ref="C2:E2"/>
    <mergeCell ref="A3:E3"/>
    <mergeCell ref="A5:E6"/>
    <mergeCell ref="A7:B7"/>
    <mergeCell ref="A8:E8"/>
    <mergeCell ref="A9:E9"/>
    <mergeCell ref="A10:E10"/>
    <mergeCell ref="B12:E12"/>
    <mergeCell ref="B13:E13"/>
    <mergeCell ref="B15:E15"/>
    <mergeCell ref="B16:E16"/>
    <mergeCell ref="B18:E18"/>
    <mergeCell ref="B19:E19"/>
    <mergeCell ref="B21:E21"/>
    <mergeCell ref="B22:E22"/>
    <mergeCell ref="B24:E24"/>
    <mergeCell ref="B25:E25"/>
    <mergeCell ref="B27:E27"/>
    <mergeCell ref="B28:E28"/>
    <mergeCell ref="B30:E30"/>
    <mergeCell ref="B31:E31"/>
    <mergeCell ref="B33:E33"/>
    <mergeCell ref="B34:E34"/>
    <mergeCell ref="B36:E36"/>
    <mergeCell ref="B37:E37"/>
    <mergeCell ref="B39:E39"/>
    <mergeCell ref="B40:E40"/>
    <mergeCell ref="B42:E42"/>
    <mergeCell ref="B43:E43"/>
    <mergeCell ref="B45:E45"/>
    <mergeCell ref="B46:E46"/>
    <mergeCell ref="A47:E47"/>
    <mergeCell ref="A48:E48"/>
    <mergeCell ref="A49:E49"/>
    <mergeCell ref="B51:E51"/>
    <mergeCell ref="A52:E52"/>
    <mergeCell ref="B54:E54"/>
    <mergeCell ref="A55:E55"/>
    <mergeCell ref="B57:E57"/>
    <mergeCell ref="A58:E58"/>
    <mergeCell ref="A59:E59"/>
    <mergeCell ref="B61:E61"/>
    <mergeCell ref="B62:E62"/>
    <mergeCell ref="B64:E64"/>
    <mergeCell ref="B65:E65"/>
    <mergeCell ref="B67:E67"/>
  </mergeCells>
  <hyperlinks>
    <hyperlink r:id="rId1" ref="A13"/>
    <hyperlink r:id="rId2" ref="A16"/>
    <hyperlink r:id="rId3" ref="B20"/>
    <hyperlink r:id="rId4" ref="A22"/>
    <hyperlink r:id="rId5" ref="A28"/>
    <hyperlink r:id="rId6" ref="A31"/>
    <hyperlink r:id="rId7" ref="A34"/>
    <hyperlink r:id="rId8" ref="A37"/>
    <hyperlink r:id="rId9" ref="A40"/>
    <hyperlink r:id="rId10" ref="A43"/>
    <hyperlink r:id="rId11" ref="A46"/>
    <hyperlink r:id="rId12" ref="A52"/>
    <hyperlink r:id="rId13" ref="A55"/>
    <hyperlink r:id="rId14" ref="A58"/>
    <hyperlink r:id="rId15" ref="A62"/>
    <hyperlink r:id="rId16" ref="A80"/>
    <hyperlink r:id="rId17" ref="B81"/>
    <hyperlink r:id="rId18" ref="A83"/>
  </hyperlinks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4.38"/>
    <col customWidth="1" min="2" max="2" width="16.5"/>
    <col customWidth="1" min="3" max="3" width="4.13"/>
    <col customWidth="1" min="4" max="4" width="3.63"/>
    <col customWidth="1" min="5" max="5" width="4.88"/>
    <col customWidth="1" min="6" max="6" width="6.25"/>
    <col customWidth="1" min="7" max="7" width="6.63"/>
  </cols>
  <sheetData>
    <row r="1">
      <c r="A1" s="2" t="s">
        <v>0</v>
      </c>
      <c r="B1" s="3"/>
      <c r="C1" s="4" t="str">
        <f>COUNTIF(E11:E100,"W")&amp;"-"&amp;COUNTIF(E11:E100,"L")&amp;"-"&amp;COUNTIF(E11:E100,"T")&amp;"-"&amp;COUNTIF(E11:E100,"OTL")</f>
        <v>6-15-1-1</v>
      </c>
      <c r="D1" s="3"/>
      <c r="E1" s="5"/>
      <c r="F1" s="6"/>
      <c r="G1" s="7"/>
    </row>
    <row r="2">
      <c r="A2" s="9" t="s">
        <v>1</v>
      </c>
      <c r="C2" s="10" t="str">
        <f>COUNTIF(G11:G84,"W")&amp;"-"&amp;COUNTIF(G11:G84,"L")&amp;"-"&amp;COUNTIF(G11:G84,"T")&amp;"-"&amp;COUNTIF(G11:G84,"OTL")</f>
        <v>5-9-0-1</v>
      </c>
      <c r="E2" s="11"/>
      <c r="F2" s="6"/>
      <c r="G2" s="6"/>
    </row>
    <row r="3">
      <c r="A3" s="12" t="s">
        <v>2</v>
      </c>
      <c r="B3" s="13"/>
      <c r="C3" s="13"/>
      <c r="D3" s="13"/>
      <c r="E3" s="14"/>
      <c r="F3" s="6"/>
      <c r="G3" s="6"/>
    </row>
    <row r="4">
      <c r="A4" s="16"/>
      <c r="B4" s="17"/>
      <c r="C4" s="16"/>
      <c r="D4" s="16"/>
      <c r="E4" s="18"/>
      <c r="F4" s="19" t="s">
        <v>3</v>
      </c>
      <c r="G4" s="20" t="s">
        <v>4</v>
      </c>
    </row>
    <row r="5">
      <c r="A5" s="21" t="s">
        <v>156</v>
      </c>
      <c r="B5" s="22"/>
      <c r="C5" s="22"/>
      <c r="D5" s="22"/>
      <c r="E5" s="23"/>
      <c r="F5" s="24"/>
      <c r="G5" s="6"/>
    </row>
    <row r="6">
      <c r="A6" s="25"/>
      <c r="B6" s="26"/>
      <c r="C6" s="26"/>
      <c r="D6" s="26"/>
      <c r="E6" s="27"/>
      <c r="F6" s="24"/>
      <c r="G6" s="6"/>
    </row>
    <row r="7">
      <c r="A7" s="185" t="s">
        <v>7</v>
      </c>
      <c r="C7" s="198" t="s">
        <v>8</v>
      </c>
      <c r="D7" s="198" t="s">
        <v>9</v>
      </c>
      <c r="E7" s="199" t="s">
        <v>10</v>
      </c>
      <c r="F7" s="6"/>
      <c r="G7" s="6"/>
    </row>
    <row r="8">
      <c r="A8" s="202" t="s">
        <v>11</v>
      </c>
      <c r="E8" s="11"/>
      <c r="F8" s="34"/>
      <c r="G8" s="34"/>
    </row>
    <row r="9">
      <c r="A9" s="119" t="s">
        <v>12</v>
      </c>
      <c r="E9" s="11"/>
      <c r="F9" s="34"/>
      <c r="G9" s="34"/>
    </row>
    <row r="10">
      <c r="A10" s="187"/>
      <c r="B10" s="136"/>
      <c r="C10" s="136"/>
      <c r="D10" s="136"/>
      <c r="E10" s="137"/>
      <c r="F10" s="34"/>
      <c r="G10" s="34"/>
    </row>
    <row r="11">
      <c r="A11" s="185" t="s">
        <v>13</v>
      </c>
      <c r="B11" s="206" t="s">
        <v>14</v>
      </c>
      <c r="C11" s="199">
        <v>5.0</v>
      </c>
      <c r="D11" s="199">
        <v>7.0</v>
      </c>
      <c r="E11" s="199" t="s">
        <v>26</v>
      </c>
      <c r="F11" s="34"/>
      <c r="G11" s="42" t="s">
        <v>26</v>
      </c>
    </row>
    <row r="12">
      <c r="A12" s="170">
        <v>25.0</v>
      </c>
      <c r="B12" s="207" t="s">
        <v>163</v>
      </c>
      <c r="E12" s="11"/>
      <c r="F12" s="34"/>
      <c r="G12" s="42"/>
    </row>
    <row r="13">
      <c r="A13" s="181" t="s">
        <v>42</v>
      </c>
      <c r="B13" s="53" t="s">
        <v>50</v>
      </c>
      <c r="C13" s="13"/>
      <c r="D13" s="13"/>
      <c r="E13" s="14"/>
      <c r="F13" s="182"/>
      <c r="G13" s="59"/>
    </row>
    <row r="14">
      <c r="A14" s="168" t="s">
        <v>17</v>
      </c>
      <c r="B14" s="174" t="s">
        <v>14</v>
      </c>
      <c r="C14" s="107">
        <v>1.0</v>
      </c>
      <c r="D14" s="107">
        <v>2.0</v>
      </c>
      <c r="E14" s="107" t="s">
        <v>26</v>
      </c>
      <c r="F14" s="34"/>
      <c r="G14" s="42" t="s">
        <v>26</v>
      </c>
    </row>
    <row r="15">
      <c r="A15" s="170">
        <v>2.0</v>
      </c>
      <c r="B15" s="109" t="s">
        <v>166</v>
      </c>
      <c r="E15" s="11"/>
      <c r="F15" s="34"/>
      <c r="G15" s="42"/>
    </row>
    <row r="16">
      <c r="A16" s="141"/>
      <c r="B16" s="173" t="s">
        <v>143</v>
      </c>
      <c r="C16" s="13"/>
      <c r="D16" s="13"/>
      <c r="E16" s="14"/>
      <c r="F16" s="34"/>
      <c r="G16" s="42"/>
    </row>
    <row r="17">
      <c r="A17" s="209" t="s">
        <v>17</v>
      </c>
      <c r="B17" s="211" t="s">
        <v>14</v>
      </c>
      <c r="C17" s="107">
        <v>2.0</v>
      </c>
      <c r="D17" s="107">
        <v>5.0</v>
      </c>
      <c r="E17" s="107" t="s">
        <v>26</v>
      </c>
      <c r="F17" s="34"/>
      <c r="G17" s="42" t="s">
        <v>26</v>
      </c>
    </row>
    <row r="18">
      <c r="A18" s="170">
        <v>17.0</v>
      </c>
      <c r="B18" s="109" t="s">
        <v>75</v>
      </c>
      <c r="E18" s="11"/>
      <c r="F18" s="50"/>
      <c r="G18" s="42"/>
    </row>
    <row r="19">
      <c r="A19" s="80" t="s">
        <v>42</v>
      </c>
      <c r="B19" s="53" t="s">
        <v>170</v>
      </c>
      <c r="C19" s="13"/>
      <c r="D19" s="13"/>
      <c r="E19" s="14"/>
      <c r="F19" s="58"/>
      <c r="G19" s="59"/>
    </row>
    <row r="20">
      <c r="A20" s="209" t="s">
        <v>17</v>
      </c>
      <c r="B20" s="214" t="str">
        <f>HYPERLINK("https://gamesheet.app/seasons/723/stats/games/126878/box-score?utm_source=post_game&amp;utm_medium=email&amp;utm_campaign=post_game_report&amp;utm_content=view_box_score", "Box Score")</f>
        <v>Box Score</v>
      </c>
      <c r="C20" s="107">
        <v>4.0</v>
      </c>
      <c r="D20" s="107">
        <v>5.0</v>
      </c>
      <c r="E20" s="107" t="s">
        <v>26</v>
      </c>
      <c r="F20" s="50"/>
      <c r="G20" s="42" t="s">
        <v>26</v>
      </c>
    </row>
    <row r="21">
      <c r="A21" s="215">
        <v>24.0</v>
      </c>
      <c r="B21" s="109" t="s">
        <v>38</v>
      </c>
      <c r="E21" s="11"/>
      <c r="F21" s="50"/>
      <c r="G21" s="42"/>
    </row>
    <row r="22">
      <c r="A22" s="80" t="s">
        <v>42</v>
      </c>
      <c r="B22" s="53" t="s">
        <v>170</v>
      </c>
      <c r="C22" s="13"/>
      <c r="D22" s="13"/>
      <c r="E22" s="14"/>
      <c r="F22" s="58"/>
      <c r="G22" s="59"/>
    </row>
    <row r="23">
      <c r="A23" s="209" t="s">
        <v>17</v>
      </c>
      <c r="B23" s="214" t="str">
        <f>HYPERLINK("https://gamesheet.app/seasons/723/stats/games/128233/box-score?utm_source=post_game&amp;utm_medium=email&amp;utm_campaign=post_game_report&amp;utm_content=view_box_score", "Box Score")</f>
        <v>Box Score</v>
      </c>
      <c r="C23" s="107">
        <v>4.0</v>
      </c>
      <c r="D23" s="107">
        <v>1.0</v>
      </c>
      <c r="E23" s="107" t="s">
        <v>19</v>
      </c>
      <c r="F23" s="50"/>
      <c r="G23" s="42" t="s">
        <v>19</v>
      </c>
    </row>
    <row r="24">
      <c r="A24" s="217">
        <v>29.0</v>
      </c>
      <c r="B24" s="109" t="s">
        <v>174</v>
      </c>
      <c r="E24" s="11"/>
      <c r="F24" s="50"/>
      <c r="G24" s="42"/>
    </row>
    <row r="25">
      <c r="A25" s="80" t="s">
        <v>42</v>
      </c>
      <c r="B25" s="53" t="s">
        <v>177</v>
      </c>
      <c r="C25" s="13"/>
      <c r="D25" s="13"/>
      <c r="E25" s="14"/>
      <c r="F25" s="58"/>
      <c r="G25" s="59"/>
    </row>
    <row r="26">
      <c r="A26" s="209" t="s">
        <v>34</v>
      </c>
      <c r="B26" s="211" t="s">
        <v>14</v>
      </c>
      <c r="C26" s="107">
        <v>6.0</v>
      </c>
      <c r="D26" s="107">
        <v>3.0</v>
      </c>
      <c r="E26" s="107" t="s">
        <v>19</v>
      </c>
      <c r="F26" s="50"/>
      <c r="G26" s="42" t="s">
        <v>19</v>
      </c>
    </row>
    <row r="27">
      <c r="A27" s="217">
        <v>7.0</v>
      </c>
      <c r="B27" s="118" t="s">
        <v>15</v>
      </c>
      <c r="E27" s="11"/>
      <c r="F27" s="50"/>
      <c r="G27" s="42"/>
    </row>
    <row r="28">
      <c r="A28" s="80" t="s">
        <v>42</v>
      </c>
      <c r="B28" s="53" t="s">
        <v>170</v>
      </c>
      <c r="C28" s="13"/>
      <c r="D28" s="13"/>
      <c r="E28" s="14"/>
      <c r="F28" s="58"/>
      <c r="G28" s="59"/>
    </row>
    <row r="29">
      <c r="A29" s="209" t="s">
        <v>34</v>
      </c>
      <c r="B29" s="214" t="str">
        <f>HYPERLINK("https://gamesheet.app/seasons/723/stats/games/137310/box-score?utm_source=post_game&amp;utm_medium=email&amp;utm_campaign=post_game_report&amp;utm_content=view_box_score", "Box Score")</f>
        <v>Box Score</v>
      </c>
      <c r="C29" s="107">
        <v>6.0</v>
      </c>
      <c r="D29" s="107">
        <v>3.0</v>
      </c>
      <c r="E29" s="107" t="s">
        <v>19</v>
      </c>
      <c r="F29" s="50"/>
      <c r="G29" s="42" t="s">
        <v>19</v>
      </c>
    </row>
    <row r="30">
      <c r="A30" s="217">
        <v>12.0</v>
      </c>
      <c r="B30" s="118" t="s">
        <v>182</v>
      </c>
      <c r="E30" s="11"/>
      <c r="F30" s="50"/>
      <c r="G30" s="42"/>
    </row>
    <row r="31">
      <c r="A31" s="80" t="s">
        <v>42</v>
      </c>
      <c r="B31" s="53" t="s">
        <v>170</v>
      </c>
      <c r="C31" s="13"/>
      <c r="D31" s="13"/>
      <c r="E31" s="14"/>
      <c r="F31" s="58"/>
      <c r="G31" s="59"/>
    </row>
    <row r="32">
      <c r="A32" s="209" t="s">
        <v>34</v>
      </c>
      <c r="B32" s="211" t="s">
        <v>14</v>
      </c>
      <c r="C32" s="107">
        <v>1.0</v>
      </c>
      <c r="D32" s="107">
        <v>3.0</v>
      </c>
      <c r="E32" s="107" t="s">
        <v>26</v>
      </c>
      <c r="F32" s="50"/>
      <c r="G32" s="42" t="s">
        <v>26</v>
      </c>
    </row>
    <row r="33">
      <c r="A33" s="217">
        <v>14.0</v>
      </c>
      <c r="B33" s="118" t="s">
        <v>186</v>
      </c>
      <c r="E33" s="11"/>
      <c r="F33" s="50"/>
      <c r="G33" s="42"/>
    </row>
    <row r="34">
      <c r="A34" s="80" t="s">
        <v>42</v>
      </c>
      <c r="B34" s="53" t="s">
        <v>107</v>
      </c>
      <c r="C34" s="13"/>
      <c r="D34" s="13"/>
      <c r="E34" s="14"/>
      <c r="F34" s="58"/>
      <c r="G34" s="59"/>
    </row>
    <row r="35">
      <c r="A35" s="155"/>
      <c r="E35" s="11"/>
      <c r="F35" s="50"/>
      <c r="G35" s="42"/>
    </row>
    <row r="36">
      <c r="A36" s="157" t="s">
        <v>114</v>
      </c>
      <c r="B36" s="132"/>
      <c r="C36" s="132"/>
      <c r="D36" s="132"/>
      <c r="E36" s="133"/>
      <c r="F36" s="50"/>
      <c r="G36" s="42"/>
    </row>
    <row r="37">
      <c r="A37" s="159" t="s">
        <v>121</v>
      </c>
      <c r="E37" s="11"/>
      <c r="F37" s="50"/>
      <c r="G37" s="42"/>
    </row>
    <row r="38">
      <c r="A38" s="160" t="s">
        <v>34</v>
      </c>
      <c r="B38" s="161" t="str">
        <f>HYPERLINK("https://gamesheet.app/seasons/723/stats/games/168289/box-score?utm_source=post_game&amp;utm_medium=email&amp;utm_campaign=post_game_report&amp;utm_content=view_box_score", "Box Score")</f>
        <v>Box Score</v>
      </c>
      <c r="C38" s="90">
        <v>4.0</v>
      </c>
      <c r="D38" s="90">
        <v>5.0</v>
      </c>
      <c r="E38" s="90" t="s">
        <v>26</v>
      </c>
      <c r="F38" s="50"/>
      <c r="G38" s="42"/>
    </row>
    <row r="39">
      <c r="A39" s="162">
        <v>19.0</v>
      </c>
      <c r="B39" s="210" t="s">
        <v>189</v>
      </c>
      <c r="E39" s="11"/>
      <c r="F39" s="42"/>
      <c r="G39" s="42"/>
    </row>
    <row r="40">
      <c r="A40" s="164"/>
      <c r="B40" s="13"/>
      <c r="C40" s="13"/>
      <c r="D40" s="13"/>
      <c r="E40" s="14"/>
      <c r="F40" s="42"/>
      <c r="G40" s="42"/>
    </row>
    <row r="41">
      <c r="A41" s="160" t="s">
        <v>34</v>
      </c>
      <c r="B41" s="213" t="str">
        <f>HYPERLINK("https://gamesheet.app/seasons/723/stats/games/146571/box-score?utm_source=post_game&amp;utm_medium=email&amp;utm_campaign=post_game_report&amp;utm_content=view_box_score", "Box Score")</f>
        <v>Box Score</v>
      </c>
      <c r="C41" s="90">
        <v>3.0</v>
      </c>
      <c r="D41" s="90">
        <v>5.0</v>
      </c>
      <c r="E41" s="90" t="s">
        <v>26</v>
      </c>
      <c r="F41" s="42"/>
      <c r="G41" s="42"/>
    </row>
    <row r="42">
      <c r="A42" s="162">
        <v>20.0</v>
      </c>
      <c r="B42" s="210" t="s">
        <v>191</v>
      </c>
      <c r="E42" s="11"/>
      <c r="F42" s="42"/>
      <c r="G42" s="42"/>
    </row>
    <row r="43">
      <c r="A43" s="212" t="s">
        <v>42</v>
      </c>
      <c r="B43" s="236"/>
      <c r="C43" s="236"/>
      <c r="D43" s="236"/>
      <c r="E43" s="237"/>
      <c r="F43" s="59"/>
      <c r="G43" s="59"/>
    </row>
    <row r="44">
      <c r="A44" s="165" t="s">
        <v>34</v>
      </c>
      <c r="B44" s="99" t="s">
        <v>14</v>
      </c>
      <c r="C44" s="90">
        <v>3.0</v>
      </c>
      <c r="D44" s="90">
        <v>3.0</v>
      </c>
      <c r="E44" s="90" t="s">
        <v>73</v>
      </c>
      <c r="F44" s="34"/>
      <c r="G44" s="42"/>
    </row>
    <row r="45">
      <c r="A45" s="162">
        <v>21.0</v>
      </c>
      <c r="B45" s="210" t="s">
        <v>194</v>
      </c>
      <c r="E45" s="11"/>
      <c r="F45" s="34"/>
      <c r="G45" s="42"/>
    </row>
    <row r="46">
      <c r="A46" s="216" t="s">
        <v>42</v>
      </c>
      <c r="B46" s="240"/>
      <c r="C46" s="240"/>
      <c r="D46" s="240"/>
      <c r="E46" s="241"/>
      <c r="F46" s="182"/>
      <c r="G46" s="59"/>
    </row>
    <row r="47">
      <c r="A47" s="187"/>
      <c r="B47" s="136"/>
      <c r="C47" s="136"/>
      <c r="D47" s="136"/>
      <c r="E47" s="137"/>
      <c r="F47" s="34"/>
      <c r="G47" s="42"/>
    </row>
    <row r="48">
      <c r="A48" s="227" t="s">
        <v>61</v>
      </c>
      <c r="B48" s="228" t="str">
        <f>HYPERLINK("https://gamesheet.app/seasons/723/stats/games/155182/box-score?utm_source=post_game&amp;utm_medium=email&amp;utm_campaign=post_game_report&amp;utm_content=view_box_score", "Box Score")</f>
        <v>Box Score</v>
      </c>
      <c r="C48" s="243">
        <v>11.0</v>
      </c>
      <c r="D48" s="243">
        <v>8.0</v>
      </c>
      <c r="E48" s="243" t="s">
        <v>19</v>
      </c>
      <c r="F48" s="34"/>
      <c r="G48" s="42"/>
    </row>
    <row r="49">
      <c r="A49" s="223">
        <v>3.0</v>
      </c>
      <c r="B49" s="210" t="s">
        <v>198</v>
      </c>
      <c r="E49" s="11"/>
      <c r="F49" s="34"/>
      <c r="G49" s="42"/>
    </row>
    <row r="50">
      <c r="A50" s="244"/>
      <c r="B50" s="245" t="s">
        <v>170</v>
      </c>
      <c r="C50" s="13"/>
      <c r="D50" s="13"/>
      <c r="E50" s="14"/>
      <c r="F50" s="34"/>
      <c r="G50" s="42"/>
    </row>
    <row r="51">
      <c r="A51" s="220" t="s">
        <v>68</v>
      </c>
      <c r="B51" s="247" t="s">
        <v>14</v>
      </c>
      <c r="C51" s="90">
        <v>6.0</v>
      </c>
      <c r="D51" s="90">
        <v>10.0</v>
      </c>
      <c r="E51" s="90" t="s">
        <v>26</v>
      </c>
      <c r="F51" s="34"/>
      <c r="G51" s="42"/>
    </row>
    <row r="52">
      <c r="A52" s="223">
        <v>22.0</v>
      </c>
      <c r="B52" s="210" t="s">
        <v>198</v>
      </c>
      <c r="E52" s="11"/>
      <c r="F52" s="34"/>
      <c r="G52" s="42"/>
    </row>
    <row r="53">
      <c r="A53" s="244"/>
      <c r="B53" s="245" t="s">
        <v>170</v>
      </c>
      <c r="C53" s="13"/>
      <c r="D53" s="13"/>
      <c r="E53" s="14"/>
      <c r="F53" s="34"/>
      <c r="G53" s="42"/>
    </row>
    <row r="54">
      <c r="A54" s="168" t="s">
        <v>68</v>
      </c>
      <c r="B54" s="174" t="s">
        <v>14</v>
      </c>
      <c r="C54" s="107">
        <v>4.0</v>
      </c>
      <c r="D54" s="107">
        <v>5.0</v>
      </c>
      <c r="E54" s="107" t="s">
        <v>48</v>
      </c>
      <c r="F54" s="34"/>
      <c r="G54" s="42" t="s">
        <v>48</v>
      </c>
    </row>
    <row r="55">
      <c r="A55" s="170">
        <v>30.0</v>
      </c>
      <c r="B55" s="109" t="s">
        <v>203</v>
      </c>
      <c r="E55" s="11"/>
      <c r="F55" s="34"/>
      <c r="G55" s="42"/>
    </row>
    <row r="56">
      <c r="A56" s="171"/>
      <c r="B56" s="173" t="s">
        <v>204</v>
      </c>
      <c r="C56" s="13"/>
      <c r="D56" s="13"/>
      <c r="E56" s="14"/>
      <c r="F56" s="34"/>
      <c r="G56" s="42"/>
    </row>
    <row r="57">
      <c r="A57" s="168" t="s">
        <v>74</v>
      </c>
      <c r="B57" s="174" t="s">
        <v>14</v>
      </c>
      <c r="C57" s="107">
        <v>3.0</v>
      </c>
      <c r="D57" s="107">
        <v>6.0</v>
      </c>
      <c r="E57" s="107" t="s">
        <v>26</v>
      </c>
      <c r="F57" s="34"/>
      <c r="G57" s="42" t="s">
        <v>26</v>
      </c>
    </row>
    <row r="58">
      <c r="A58" s="170">
        <v>6.0</v>
      </c>
      <c r="B58" s="109" t="s">
        <v>206</v>
      </c>
      <c r="E58" s="11"/>
      <c r="F58" s="34"/>
      <c r="G58" s="42"/>
    </row>
    <row r="59">
      <c r="A59" s="80" t="s">
        <v>42</v>
      </c>
      <c r="B59" s="53" t="s">
        <v>140</v>
      </c>
      <c r="C59" s="13"/>
      <c r="D59" s="13"/>
      <c r="E59" s="14"/>
      <c r="F59" s="182"/>
      <c r="G59" s="59"/>
    </row>
    <row r="60">
      <c r="A60" s="168" t="s">
        <v>74</v>
      </c>
      <c r="B60" s="174" t="s">
        <v>14</v>
      </c>
      <c r="C60" s="107">
        <v>9.0</v>
      </c>
      <c r="D60" s="107">
        <v>4.0</v>
      </c>
      <c r="E60" s="107" t="s">
        <v>19</v>
      </c>
      <c r="F60" s="34"/>
      <c r="G60" s="42" t="s">
        <v>19</v>
      </c>
    </row>
    <row r="61">
      <c r="A61" s="170">
        <v>11.0</v>
      </c>
      <c r="B61" s="109" t="s">
        <v>213</v>
      </c>
      <c r="E61" s="11"/>
      <c r="F61" s="34"/>
      <c r="G61" s="42"/>
    </row>
    <row r="62">
      <c r="A62" s="80" t="s">
        <v>42</v>
      </c>
      <c r="B62" s="53" t="s">
        <v>170</v>
      </c>
      <c r="C62" s="13"/>
      <c r="D62" s="13"/>
      <c r="E62" s="14"/>
      <c r="F62" s="182"/>
      <c r="G62" s="59"/>
    </row>
    <row r="63">
      <c r="A63" s="168" t="s">
        <v>74</v>
      </c>
      <c r="B63" s="174" t="s">
        <v>14</v>
      </c>
      <c r="C63" s="107">
        <v>0.0</v>
      </c>
      <c r="D63" s="107">
        <v>5.0</v>
      </c>
      <c r="E63" s="107" t="s">
        <v>26</v>
      </c>
      <c r="F63" s="42"/>
      <c r="G63" s="42" t="s">
        <v>26</v>
      </c>
    </row>
    <row r="64">
      <c r="A64" s="43">
        <v>12.0</v>
      </c>
      <c r="B64" s="118" t="s">
        <v>65</v>
      </c>
      <c r="E64" s="11"/>
      <c r="F64" s="42"/>
      <c r="G64" s="42"/>
    </row>
    <row r="65">
      <c r="A65" s="171"/>
      <c r="B65" s="173" t="s">
        <v>170</v>
      </c>
      <c r="C65" s="13"/>
      <c r="D65" s="13"/>
      <c r="E65" s="14"/>
      <c r="F65" s="42"/>
      <c r="G65" s="42"/>
    </row>
    <row r="66">
      <c r="A66" s="209" t="s">
        <v>74</v>
      </c>
      <c r="B66" s="214" t="str">
        <f>HYPERLINK("https://gamesheet.app/seasons/723/stats/games/195113/box-score?utm_source=post_game&amp;utm_medium=email&amp;utm_campaign=post_game_report&amp;utm_content=view_box_score", "Box Score")</f>
        <v>Box Score</v>
      </c>
      <c r="C66" s="107">
        <v>0.0</v>
      </c>
      <c r="D66" s="107">
        <v>5.0</v>
      </c>
      <c r="E66" s="107" t="s">
        <v>26</v>
      </c>
      <c r="F66" s="6"/>
      <c r="G66" s="116" t="s">
        <v>26</v>
      </c>
    </row>
    <row r="67">
      <c r="A67" s="170">
        <v>18.0</v>
      </c>
      <c r="B67" s="109" t="s">
        <v>100</v>
      </c>
      <c r="E67" s="11"/>
      <c r="F67" s="6"/>
      <c r="G67" s="116"/>
    </row>
    <row r="68">
      <c r="A68" s="141"/>
      <c r="B68" s="173" t="s">
        <v>170</v>
      </c>
      <c r="C68" s="13"/>
      <c r="D68" s="13"/>
      <c r="E68" s="14"/>
      <c r="F68" s="6"/>
      <c r="G68" s="116"/>
    </row>
    <row r="69">
      <c r="A69" s="168" t="s">
        <v>74</v>
      </c>
      <c r="B69" s="169" t="str">
        <f>HYPERLINK("https://gamesheet.app/seasons/723/stats/games/197153/box-score?utm_source=post_game&amp;utm_medium=email&amp;utm_campaign=post_game_report&amp;utm_content=view_box_score", "Box Score")</f>
        <v>Box Score</v>
      </c>
      <c r="C69" s="107">
        <v>9.0</v>
      </c>
      <c r="D69" s="107">
        <v>2.0</v>
      </c>
      <c r="E69" s="107" t="s">
        <v>19</v>
      </c>
      <c r="F69" s="6"/>
      <c r="G69" s="116" t="s">
        <v>19</v>
      </c>
    </row>
    <row r="70">
      <c r="A70" s="43">
        <v>19.0</v>
      </c>
      <c r="B70" s="118" t="s">
        <v>25</v>
      </c>
      <c r="E70" s="11"/>
      <c r="F70" s="6"/>
      <c r="G70" s="116"/>
    </row>
    <row r="71">
      <c r="A71" s="176"/>
      <c r="B71" s="285" t="s">
        <v>170</v>
      </c>
      <c r="E71" s="11"/>
      <c r="F71" s="6"/>
      <c r="G71" s="116"/>
    </row>
    <row r="72">
      <c r="A72" s="234"/>
      <c r="B72" s="136"/>
      <c r="C72" s="136"/>
      <c r="D72" s="136"/>
      <c r="E72" s="137"/>
      <c r="F72" s="6"/>
      <c r="G72" s="6"/>
    </row>
    <row r="73">
      <c r="A73" s="135" t="s">
        <v>223</v>
      </c>
      <c r="B73" s="136"/>
      <c r="C73" s="136"/>
      <c r="D73" s="136"/>
      <c r="E73" s="137"/>
      <c r="F73" s="126"/>
      <c r="G73" s="34"/>
    </row>
    <row r="74">
      <c r="A74" s="127" t="s">
        <v>107</v>
      </c>
      <c r="E74" s="11"/>
      <c r="F74" s="42"/>
      <c r="G74" s="42"/>
    </row>
    <row r="75">
      <c r="A75" s="168" t="s">
        <v>74</v>
      </c>
      <c r="B75" s="169" t="str">
        <f>HYPERLINK("https://gamesheet.app/seasons/723/stats/games/201096/box-score?utm_source=post_game&amp;utm_medium=email&amp;utm_campaign=post_game_report&amp;utm_content=view_box_score", "Box Score")</f>
        <v>Box Score</v>
      </c>
      <c r="C75" s="128">
        <v>3.0</v>
      </c>
      <c r="D75" s="128">
        <v>5.0</v>
      </c>
      <c r="E75" s="128" t="s">
        <v>26</v>
      </c>
      <c r="F75" s="42"/>
      <c r="G75" s="42" t="s">
        <v>26</v>
      </c>
    </row>
    <row r="76">
      <c r="A76" s="235">
        <v>25.0</v>
      </c>
      <c r="B76" s="109" t="s">
        <v>203</v>
      </c>
      <c r="E76" s="105"/>
      <c r="F76" s="116"/>
      <c r="G76" s="116"/>
    </row>
    <row r="77">
      <c r="A77" s="180" t="s">
        <v>95</v>
      </c>
      <c r="B77" s="13"/>
      <c r="C77" s="13"/>
      <c r="D77" s="13"/>
      <c r="E77" s="14"/>
      <c r="F77" s="116"/>
      <c r="G77" s="116"/>
    </row>
    <row r="78" hidden="1">
      <c r="A78" s="168" t="s">
        <v>74</v>
      </c>
      <c r="B78" s="120"/>
      <c r="C78" s="107"/>
      <c r="D78" s="107"/>
      <c r="E78" s="107"/>
      <c r="F78" s="116"/>
      <c r="G78" s="116"/>
    </row>
    <row r="79" hidden="1">
      <c r="A79" s="170">
        <v>26.0</v>
      </c>
      <c r="B79" s="109" t="s">
        <v>92</v>
      </c>
      <c r="E79" s="11"/>
      <c r="F79" s="116"/>
      <c r="G79" s="116"/>
    </row>
    <row r="80" hidden="1">
      <c r="A80" s="180" t="s">
        <v>96</v>
      </c>
      <c r="B80" s="13"/>
      <c r="C80" s="13"/>
      <c r="D80" s="13"/>
      <c r="E80" s="14"/>
      <c r="F80" s="116"/>
      <c r="G80" s="116"/>
    </row>
    <row r="81" hidden="1">
      <c r="A81" s="168" t="s">
        <v>74</v>
      </c>
      <c r="B81" s="120"/>
      <c r="C81" s="107"/>
      <c r="D81" s="107"/>
      <c r="E81" s="107"/>
      <c r="F81" s="116"/>
      <c r="G81" s="116"/>
    </row>
    <row r="82" hidden="1">
      <c r="A82" s="170">
        <v>27.0</v>
      </c>
      <c r="B82" s="109" t="s">
        <v>92</v>
      </c>
      <c r="E82" s="11"/>
      <c r="F82" s="116"/>
      <c r="G82" s="116"/>
    </row>
    <row r="83" hidden="1">
      <c r="A83" s="238" t="s">
        <v>99</v>
      </c>
      <c r="E83" s="11"/>
      <c r="F83" s="116"/>
      <c r="G83" s="116"/>
    </row>
    <row r="84">
      <c r="A84" s="239"/>
      <c r="B84" s="136"/>
      <c r="C84" s="136"/>
      <c r="D84" s="136"/>
      <c r="E84" s="137"/>
      <c r="F84" s="116"/>
      <c r="G84" s="116"/>
    </row>
    <row r="85">
      <c r="A85" s="135" t="s">
        <v>230</v>
      </c>
      <c r="B85" s="136"/>
      <c r="C85" s="136"/>
      <c r="D85" s="136"/>
      <c r="E85" s="137"/>
      <c r="F85" s="19"/>
      <c r="G85" s="116"/>
    </row>
    <row r="86">
      <c r="A86" s="139" t="s">
        <v>231</v>
      </c>
      <c r="E86" s="11"/>
      <c r="F86" s="19"/>
      <c r="G86" s="116"/>
    </row>
    <row r="87">
      <c r="A87" s="141" t="s">
        <v>47</v>
      </c>
      <c r="B87" s="13"/>
      <c r="C87" s="13"/>
      <c r="D87" s="13"/>
      <c r="E87" s="14"/>
      <c r="F87" s="19"/>
      <c r="G87" s="116"/>
    </row>
    <row r="88">
      <c r="A88" s="168" t="s">
        <v>106</v>
      </c>
      <c r="B88" s="169" t="str">
        <f>HYPERLINK("https://gamesheet.app/seasons/1497/stats/games/216374/box-score?utm_source=post_game&amp;utm_medium=email&amp;utm_campaign=post_game_report&amp;utm_content=view_box_score", "Box Score")</f>
        <v>Box Score</v>
      </c>
      <c r="C88" s="107">
        <v>1.0</v>
      </c>
      <c r="D88" s="107">
        <v>11.0</v>
      </c>
      <c r="E88" s="107" t="s">
        <v>26</v>
      </c>
      <c r="F88" s="19"/>
      <c r="G88" s="116"/>
    </row>
    <row r="89">
      <c r="A89" s="170">
        <v>18.0</v>
      </c>
      <c r="B89" s="109" t="s">
        <v>186</v>
      </c>
      <c r="E89" s="11"/>
      <c r="F89" s="19"/>
      <c r="G89" s="116"/>
    </row>
    <row r="90">
      <c r="A90" s="180"/>
      <c r="B90" s="13"/>
      <c r="C90" s="13"/>
      <c r="D90" s="13"/>
      <c r="E90" s="14"/>
      <c r="F90" s="19"/>
      <c r="G90" s="116"/>
    </row>
    <row r="91">
      <c r="A91" s="185" t="s">
        <v>106</v>
      </c>
      <c r="B91" s="224" t="str">
        <f>HYPERLINK("https://gamesheet.app/seasons/1497/stats/games/216894/box-score?utm_source=post_game&amp;utm_medium=email&amp;utm_campaign=post_game_report&amp;utm_content=view_box_score", "Box Score")</f>
        <v>Box Score</v>
      </c>
      <c r="C91" s="107">
        <v>4.0</v>
      </c>
      <c r="D91" s="107">
        <v>5.0</v>
      </c>
      <c r="E91" s="107" t="s">
        <v>26</v>
      </c>
      <c r="F91" s="19"/>
      <c r="G91" s="116"/>
    </row>
    <row r="92">
      <c r="A92" s="170">
        <v>19.0</v>
      </c>
      <c r="B92" s="109" t="s">
        <v>232</v>
      </c>
      <c r="E92" s="11"/>
      <c r="F92" s="19"/>
      <c r="G92" s="116"/>
    </row>
    <row r="93">
      <c r="A93" s="180"/>
      <c r="B93" s="13"/>
      <c r="C93" s="13"/>
      <c r="D93" s="13"/>
      <c r="E93" s="14"/>
      <c r="F93" s="19"/>
      <c r="G93" s="116"/>
    </row>
    <row r="94">
      <c r="A94" s="185" t="s">
        <v>106</v>
      </c>
      <c r="B94" s="224" t="str">
        <f>HYPERLINK("https://gamesheet.app/seasons/1497/stats/games/217772/box-score?utm_source=post_game&amp;utm_medium=email&amp;utm_campaign=post_game_report&amp;utm_content=view_box_score", "Box Score")</f>
        <v>Box Score</v>
      </c>
      <c r="C94" s="107">
        <v>0.0</v>
      </c>
      <c r="D94" s="107">
        <v>8.0</v>
      </c>
      <c r="E94" s="107" t="s">
        <v>26</v>
      </c>
      <c r="F94" s="19"/>
      <c r="G94" s="116"/>
    </row>
    <row r="95">
      <c r="A95" s="170">
        <v>20.0</v>
      </c>
      <c r="B95" s="109" t="s">
        <v>179</v>
      </c>
      <c r="E95" s="11"/>
      <c r="F95" s="19"/>
      <c r="G95" s="116"/>
    </row>
    <row r="96">
      <c r="A96" s="180"/>
      <c r="B96" s="13"/>
      <c r="C96" s="13"/>
      <c r="D96" s="13"/>
      <c r="E96" s="14"/>
      <c r="F96" s="19"/>
      <c r="G96" s="116"/>
    </row>
    <row r="97" hidden="1">
      <c r="A97" s="185"/>
      <c r="C97" s="107"/>
      <c r="D97" s="107"/>
      <c r="E97" s="107"/>
      <c r="F97" s="19"/>
      <c r="G97" s="116"/>
    </row>
    <row r="98" hidden="1">
      <c r="A98" s="170"/>
      <c r="B98" s="109" t="s">
        <v>92</v>
      </c>
      <c r="E98" s="11"/>
      <c r="F98" s="19"/>
      <c r="G98" s="116"/>
    </row>
    <row r="99" hidden="1">
      <c r="A99" s="246"/>
      <c r="E99" s="11"/>
      <c r="F99" s="19"/>
      <c r="G99" s="116"/>
    </row>
    <row r="100">
      <c r="A100" s="187"/>
      <c r="B100" s="136"/>
      <c r="C100" s="136"/>
      <c r="D100" s="136"/>
      <c r="E100" s="137"/>
      <c r="F100" s="19"/>
      <c r="G100" s="116"/>
    </row>
    <row r="101">
      <c r="A101" s="149" t="s">
        <v>108</v>
      </c>
      <c r="C101" s="151">
        <f t="shared" ref="C101:D101" si="1">SUM(C11:C100)</f>
        <v>89</v>
      </c>
      <c r="D101" s="151">
        <f t="shared" si="1"/>
        <v>116</v>
      </c>
      <c r="E101" s="152"/>
      <c r="F101" s="6"/>
      <c r="G101" s="6"/>
    </row>
    <row r="102">
      <c r="A102" s="156" t="s">
        <v>112</v>
      </c>
      <c r="B102" s="13"/>
      <c r="C102" s="158" t="s">
        <v>116</v>
      </c>
      <c r="D102" s="13"/>
      <c r="E102" s="14"/>
      <c r="F102" s="154"/>
      <c r="G102" s="6"/>
    </row>
  </sheetData>
  <mergeCells count="76">
    <mergeCell ref="B71:E71"/>
    <mergeCell ref="A72:E72"/>
    <mergeCell ref="A73:E73"/>
    <mergeCell ref="A74:E74"/>
    <mergeCell ref="B76:E76"/>
    <mergeCell ref="A77:E77"/>
    <mergeCell ref="B79:E79"/>
    <mergeCell ref="A80:E80"/>
    <mergeCell ref="B82:E82"/>
    <mergeCell ref="A83:E83"/>
    <mergeCell ref="A84:E84"/>
    <mergeCell ref="A85:E85"/>
    <mergeCell ref="A86:E86"/>
    <mergeCell ref="A87:E87"/>
    <mergeCell ref="B98:E98"/>
    <mergeCell ref="A99:E99"/>
    <mergeCell ref="A100:E100"/>
    <mergeCell ref="A101:B101"/>
    <mergeCell ref="A102:B102"/>
    <mergeCell ref="C102:E102"/>
    <mergeCell ref="B89:E89"/>
    <mergeCell ref="A90:E90"/>
    <mergeCell ref="B92:E92"/>
    <mergeCell ref="A93:E93"/>
    <mergeCell ref="B95:E95"/>
    <mergeCell ref="A96:E96"/>
    <mergeCell ref="A97:B97"/>
    <mergeCell ref="A1:B1"/>
    <mergeCell ref="C1:E1"/>
    <mergeCell ref="A2:B2"/>
    <mergeCell ref="C2:E2"/>
    <mergeCell ref="A3:E3"/>
    <mergeCell ref="A5:E6"/>
    <mergeCell ref="A7:B7"/>
    <mergeCell ref="A8:E8"/>
    <mergeCell ref="A9:E9"/>
    <mergeCell ref="A10:E10"/>
    <mergeCell ref="B12:E12"/>
    <mergeCell ref="B13:E13"/>
    <mergeCell ref="B15:E15"/>
    <mergeCell ref="B16:E16"/>
    <mergeCell ref="B18:E18"/>
    <mergeCell ref="B19:E19"/>
    <mergeCell ref="B21:E21"/>
    <mergeCell ref="B22:E22"/>
    <mergeCell ref="B24:E24"/>
    <mergeCell ref="B25:E25"/>
    <mergeCell ref="B27:E27"/>
    <mergeCell ref="B28:E28"/>
    <mergeCell ref="B30:E30"/>
    <mergeCell ref="B31:E31"/>
    <mergeCell ref="B33:E33"/>
    <mergeCell ref="B34:E34"/>
    <mergeCell ref="A35:E35"/>
    <mergeCell ref="A36:E36"/>
    <mergeCell ref="A37:E37"/>
    <mergeCell ref="B39:E39"/>
    <mergeCell ref="A40:E40"/>
    <mergeCell ref="B42:E42"/>
    <mergeCell ref="B45:E45"/>
    <mergeCell ref="A47:E47"/>
    <mergeCell ref="B49:E49"/>
    <mergeCell ref="B50:E50"/>
    <mergeCell ref="B52:E52"/>
    <mergeCell ref="B53:E53"/>
    <mergeCell ref="B55:E55"/>
    <mergeCell ref="B56:E56"/>
    <mergeCell ref="B58:E58"/>
    <mergeCell ref="B59:E59"/>
    <mergeCell ref="B61:E61"/>
    <mergeCell ref="B62:E62"/>
    <mergeCell ref="B64:E64"/>
    <mergeCell ref="B65:E65"/>
    <mergeCell ref="B67:E67"/>
    <mergeCell ref="B68:E68"/>
    <mergeCell ref="B70:E70"/>
  </mergeCells>
  <hyperlinks>
    <hyperlink r:id="rId1" ref="B11"/>
    <hyperlink r:id="rId2" ref="A13"/>
    <hyperlink r:id="rId3" ref="B14"/>
    <hyperlink r:id="rId4" ref="B17"/>
    <hyperlink r:id="rId5" ref="A19"/>
    <hyperlink r:id="rId6" ref="A22"/>
    <hyperlink r:id="rId7" ref="A25"/>
    <hyperlink r:id="rId8" ref="B26"/>
    <hyperlink r:id="rId9" ref="A28"/>
    <hyperlink r:id="rId10" ref="A31"/>
    <hyperlink r:id="rId11" ref="B32"/>
    <hyperlink r:id="rId12" ref="A34"/>
    <hyperlink r:id="rId13" ref="A43"/>
    <hyperlink r:id="rId14" ref="B44"/>
    <hyperlink r:id="rId15" ref="A46"/>
    <hyperlink r:id="rId16" ref="B51"/>
    <hyperlink r:id="rId17" ref="B54"/>
    <hyperlink r:id="rId18" ref="B57"/>
    <hyperlink r:id="rId19" ref="A59"/>
    <hyperlink r:id="rId20" ref="B60"/>
    <hyperlink r:id="rId21" ref="A62"/>
    <hyperlink r:id="rId22" ref="B63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4.13"/>
  </cols>
  <sheetData>
    <row r="1">
      <c r="A1" s="201" t="s">
        <v>161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4.38"/>
    <col customWidth="1" min="2" max="2" width="16.5"/>
    <col customWidth="1" min="3" max="3" width="4.13"/>
    <col customWidth="1" min="4" max="4" width="3.63"/>
    <col customWidth="1" min="5" max="5" width="4.38"/>
    <col customWidth="1" min="6" max="6" width="6.25"/>
    <col customWidth="1" min="7" max="7" width="6.63"/>
  </cols>
  <sheetData>
    <row r="1">
      <c r="A1" s="2" t="s">
        <v>0</v>
      </c>
      <c r="B1" s="3"/>
      <c r="C1" s="4" t="str">
        <f>COUNTIF(E11:E119,"W")&amp;"-"&amp;COUNTIF(E11:E119,"L")&amp;"-"&amp;COUNTIF(E11:E119,"T")&amp;"-"&amp;COUNTIF(E11:E119,"OTL")</f>
        <v>22-6-1-0</v>
      </c>
      <c r="D1" s="3"/>
      <c r="E1" s="5"/>
      <c r="F1" s="6"/>
      <c r="G1" s="7"/>
    </row>
    <row r="2">
      <c r="A2" s="9" t="s">
        <v>1</v>
      </c>
      <c r="C2" s="10" t="str">
        <f>COUNTIF(G11:G103,"W")&amp;"-"&amp;COUNTIF(G11:G103,"L")&amp;"-"&amp;COUNTIF(G11:G103,"T")&amp;"-"&amp;COUNTIF(G11:G103,"OTL")</f>
        <v>10-5-1-0</v>
      </c>
      <c r="E2" s="11"/>
      <c r="F2" s="6"/>
      <c r="G2" s="6"/>
    </row>
    <row r="3">
      <c r="A3" s="12" t="s">
        <v>2</v>
      </c>
      <c r="B3" s="13"/>
      <c r="C3" s="13"/>
      <c r="D3" s="13"/>
      <c r="E3" s="14"/>
      <c r="F3" s="6"/>
      <c r="G3" s="6"/>
    </row>
    <row r="4">
      <c r="A4" s="16"/>
      <c r="B4" s="17"/>
      <c r="C4" s="16"/>
      <c r="D4" s="16"/>
      <c r="E4" s="18"/>
      <c r="F4" s="19" t="s">
        <v>3</v>
      </c>
      <c r="G4" s="20" t="s">
        <v>4</v>
      </c>
    </row>
    <row r="5">
      <c r="A5" s="21" t="s">
        <v>176</v>
      </c>
      <c r="B5" s="22"/>
      <c r="C5" s="22"/>
      <c r="D5" s="22"/>
      <c r="E5" s="23"/>
      <c r="F5" s="24"/>
      <c r="G5" s="6"/>
    </row>
    <row r="6">
      <c r="A6" s="25"/>
      <c r="B6" s="26"/>
      <c r="C6" s="26"/>
      <c r="D6" s="26"/>
      <c r="E6" s="27"/>
      <c r="F6" s="24"/>
      <c r="G6" s="6"/>
    </row>
    <row r="7">
      <c r="A7" s="185" t="s">
        <v>7</v>
      </c>
      <c r="C7" s="198" t="s">
        <v>8</v>
      </c>
      <c r="D7" s="198" t="s">
        <v>9</v>
      </c>
      <c r="E7" s="199" t="s">
        <v>10</v>
      </c>
      <c r="F7" s="6"/>
      <c r="G7" s="6"/>
    </row>
    <row r="8">
      <c r="A8" s="202" t="s">
        <v>11</v>
      </c>
      <c r="E8" s="11"/>
      <c r="F8" s="34"/>
      <c r="G8" s="34"/>
    </row>
    <row r="9">
      <c r="A9" s="119" t="s">
        <v>12</v>
      </c>
      <c r="E9" s="11"/>
      <c r="F9" s="34"/>
      <c r="G9" s="34"/>
    </row>
    <row r="10">
      <c r="A10" s="187"/>
      <c r="B10" s="136"/>
      <c r="C10" s="136"/>
      <c r="D10" s="136"/>
      <c r="E10" s="137"/>
      <c r="F10" s="34"/>
      <c r="G10" s="34"/>
    </row>
    <row r="11">
      <c r="A11" s="218" t="s">
        <v>178</v>
      </c>
      <c r="B11" s="13"/>
      <c r="C11" s="13"/>
      <c r="D11" s="13"/>
      <c r="E11" s="14"/>
      <c r="F11" s="34"/>
      <c r="G11" s="34"/>
    </row>
    <row r="12">
      <c r="A12" s="219" t="s">
        <v>121</v>
      </c>
      <c r="E12" s="11"/>
      <c r="F12" s="6"/>
      <c r="G12" s="6"/>
    </row>
    <row r="13">
      <c r="A13" s="220" t="s">
        <v>13</v>
      </c>
      <c r="B13" s="221" t="str">
        <f>HYPERLINK("https://gamesheet.app/seasons/228/stats/games/43251/box-score?filter%5Bdivision%5D=1541","Box Score")</f>
        <v>Box Score</v>
      </c>
      <c r="C13" s="90">
        <v>6.0</v>
      </c>
      <c r="D13" s="90">
        <v>0.0</v>
      </c>
      <c r="E13" s="90" t="s">
        <v>19</v>
      </c>
      <c r="F13" s="6"/>
      <c r="G13" s="222"/>
    </row>
    <row r="14">
      <c r="A14" s="223">
        <v>13.0</v>
      </c>
      <c r="B14" s="210" t="s">
        <v>181</v>
      </c>
      <c r="E14" s="11"/>
      <c r="F14" s="34"/>
      <c r="G14" s="34"/>
    </row>
    <row r="15">
      <c r="A15" s="225"/>
      <c r="E15" s="11"/>
      <c r="F15" s="34"/>
      <c r="G15" s="34"/>
    </row>
    <row r="16">
      <c r="A16" s="220" t="s">
        <v>13</v>
      </c>
      <c r="B16" s="221" t="str">
        <f>HYPERLINK("https://gamesheet.app/seasons/228/stats/games/43253/box-score?filter%5Bdivision%5D=1541","Box Score")</f>
        <v>Box Score</v>
      </c>
      <c r="C16" s="90">
        <v>9.0</v>
      </c>
      <c r="D16" s="90">
        <v>0.0</v>
      </c>
      <c r="E16" s="90" t="s">
        <v>19</v>
      </c>
      <c r="F16" s="34"/>
      <c r="G16" s="34"/>
    </row>
    <row r="17">
      <c r="A17" s="223">
        <v>14.0</v>
      </c>
      <c r="B17" s="210" t="s">
        <v>184</v>
      </c>
      <c r="E17" s="11"/>
      <c r="F17" s="34"/>
      <c r="G17" s="34"/>
    </row>
    <row r="18">
      <c r="A18" s="226"/>
      <c r="B18" s="13"/>
      <c r="C18" s="13"/>
      <c r="D18" s="13"/>
      <c r="E18" s="14"/>
      <c r="F18" s="34"/>
      <c r="G18" s="34"/>
    </row>
    <row r="19">
      <c r="A19" s="227" t="s">
        <v>13</v>
      </c>
      <c r="B19" s="228" t="str">
        <f>HYPERLINK("https://gamesheet.app/seasons/228/stats/games/43255/box-score?filter%5Bdivision%5D=1541","Box Score")</f>
        <v>Box Score</v>
      </c>
      <c r="C19" s="90">
        <v>5.0</v>
      </c>
      <c r="D19" s="90">
        <v>2.0</v>
      </c>
      <c r="E19" s="90" t="s">
        <v>19</v>
      </c>
      <c r="F19" s="34"/>
      <c r="G19" s="34"/>
    </row>
    <row r="20">
      <c r="A20" s="223">
        <v>14.0</v>
      </c>
      <c r="B20" s="229" t="s">
        <v>185</v>
      </c>
      <c r="E20" s="11"/>
      <c r="F20" s="34"/>
      <c r="G20" s="34"/>
    </row>
    <row r="21">
      <c r="A21" s="225"/>
      <c r="E21" s="11"/>
      <c r="F21" s="34"/>
      <c r="G21" s="34"/>
    </row>
    <row r="22">
      <c r="A22" s="220" t="s">
        <v>13</v>
      </c>
      <c r="B22" s="221" t="str">
        <f>HYPERLINK("https://gamesheet.app/seasons/228/stats/games/43252/box-score?filter%5Bdivision%5D=1541","Box Score")</f>
        <v>Box Score</v>
      </c>
      <c r="C22" s="90">
        <v>7.0</v>
      </c>
      <c r="D22" s="90">
        <v>2.0</v>
      </c>
      <c r="E22" s="90" t="s">
        <v>19</v>
      </c>
      <c r="F22" s="34"/>
      <c r="G22" s="34"/>
    </row>
    <row r="23">
      <c r="A23" s="223">
        <v>15.0</v>
      </c>
      <c r="B23" s="210" t="s">
        <v>187</v>
      </c>
      <c r="E23" s="11"/>
      <c r="F23" s="34"/>
      <c r="G23" s="34"/>
    </row>
    <row r="24">
      <c r="A24" s="225"/>
      <c r="E24" s="11"/>
      <c r="F24" s="34"/>
      <c r="G24" s="34"/>
    </row>
    <row r="25">
      <c r="A25" s="233"/>
      <c r="B25" s="136"/>
      <c r="C25" s="136"/>
      <c r="D25" s="136"/>
      <c r="E25" s="137"/>
      <c r="F25" s="34"/>
      <c r="G25" s="34"/>
    </row>
    <row r="26">
      <c r="A26" s="185" t="s">
        <v>13</v>
      </c>
      <c r="B26" s="224" t="str">
        <f>HYPERLINK("https://gamesheet.app/seasons/228/stats/games/42109/box-score?filter%5Bdivision%5D=1541","Box Score")</f>
        <v>Box Score</v>
      </c>
      <c r="C26" s="199">
        <v>2.0</v>
      </c>
      <c r="D26" s="199">
        <v>1.0</v>
      </c>
      <c r="E26" s="199" t="s">
        <v>19</v>
      </c>
      <c r="F26" s="34"/>
      <c r="G26" s="42" t="s">
        <v>19</v>
      </c>
    </row>
    <row r="27">
      <c r="A27" s="170">
        <v>21.0</v>
      </c>
      <c r="B27" s="109" t="s">
        <v>163</v>
      </c>
      <c r="E27" s="11"/>
      <c r="F27" s="34"/>
      <c r="G27" s="42"/>
    </row>
    <row r="28">
      <c r="A28" s="141"/>
      <c r="B28" s="173" t="s">
        <v>50</v>
      </c>
      <c r="C28" s="13"/>
      <c r="D28" s="13"/>
      <c r="E28" s="14"/>
      <c r="F28" s="34"/>
      <c r="G28" s="42"/>
    </row>
    <row r="29">
      <c r="A29" s="168" t="s">
        <v>13</v>
      </c>
      <c r="B29" s="169" t="str">
        <f>HYPERLINK("https://gamesheet.app/seasons/228/stats/games/43249/box-score?filter%5Bdivision%5D=1541","Box Score")</f>
        <v>Box Score</v>
      </c>
      <c r="C29" s="107">
        <v>6.0</v>
      </c>
      <c r="D29" s="107">
        <v>3.0</v>
      </c>
      <c r="E29" s="107" t="s">
        <v>19</v>
      </c>
      <c r="F29" s="34"/>
      <c r="G29" s="42" t="s">
        <v>19</v>
      </c>
    </row>
    <row r="30">
      <c r="A30" s="170">
        <v>29.0</v>
      </c>
      <c r="B30" s="207" t="s">
        <v>15</v>
      </c>
      <c r="E30" s="11"/>
      <c r="F30" s="34"/>
      <c r="G30" s="42" t="s">
        <v>192</v>
      </c>
    </row>
    <row r="31">
      <c r="A31" s="181" t="s">
        <v>42</v>
      </c>
      <c r="B31" s="173" t="s">
        <v>170</v>
      </c>
      <c r="C31" s="13"/>
      <c r="D31" s="13"/>
      <c r="E31" s="14"/>
      <c r="F31" s="34"/>
      <c r="G31" s="42"/>
    </row>
    <row r="32">
      <c r="A32" s="168" t="s">
        <v>17</v>
      </c>
      <c r="B32" s="169" t="str">
        <f>HYPERLINK("https://gamesheet.app/seasons/228/stats/games/44108/box-score?filter%5Bdivision%5D=1541","Box Score")</f>
        <v>Box Score</v>
      </c>
      <c r="C32" s="107">
        <v>3.0</v>
      </c>
      <c r="D32" s="107">
        <v>3.0</v>
      </c>
      <c r="E32" s="107" t="s">
        <v>73</v>
      </c>
      <c r="F32" s="34"/>
      <c r="G32" s="42" t="s">
        <v>73</v>
      </c>
    </row>
    <row r="33">
      <c r="A33" s="170">
        <v>5.0</v>
      </c>
      <c r="B33" s="109" t="s">
        <v>166</v>
      </c>
      <c r="E33" s="11"/>
      <c r="F33" s="34"/>
      <c r="G33" s="42"/>
    </row>
    <row r="34">
      <c r="A34" s="141"/>
      <c r="B34" s="173" t="s">
        <v>140</v>
      </c>
      <c r="C34" s="13"/>
      <c r="D34" s="13"/>
      <c r="E34" s="14"/>
      <c r="F34" s="34"/>
      <c r="G34" s="42"/>
    </row>
    <row r="35">
      <c r="A35" s="209" t="s">
        <v>17</v>
      </c>
      <c r="B35" s="214" t="str">
        <f>HYPERLINK("https://gamesheet.app/seasons/228/stats/games/43250/box-score?filter%5Bdivision%5D=1541","Box Score")</f>
        <v>Box Score</v>
      </c>
      <c r="C35" s="107">
        <v>6.0</v>
      </c>
      <c r="D35" s="107">
        <v>4.0</v>
      </c>
      <c r="E35" s="107" t="s">
        <v>19</v>
      </c>
      <c r="F35" s="34"/>
      <c r="G35" s="42" t="s">
        <v>19</v>
      </c>
    </row>
    <row r="36">
      <c r="A36" s="170">
        <v>13.0</v>
      </c>
      <c r="B36" s="109" t="s">
        <v>100</v>
      </c>
      <c r="E36" s="11"/>
      <c r="F36" s="34"/>
      <c r="G36" s="42"/>
    </row>
    <row r="37">
      <c r="A37" s="141"/>
      <c r="B37" s="173" t="s">
        <v>170</v>
      </c>
      <c r="C37" s="13"/>
      <c r="D37" s="13"/>
      <c r="E37" s="14"/>
      <c r="F37" s="34"/>
      <c r="G37" s="42"/>
    </row>
    <row r="38">
      <c r="A38" s="209" t="s">
        <v>17</v>
      </c>
      <c r="B38" s="214" t="str">
        <f>HYPERLINK("https://gamesheet.app/seasons/228/stats/games/45650/box-score?filter%5Bdivision%5D=1541","Box Score")</f>
        <v>Box Score</v>
      </c>
      <c r="C38" s="107">
        <v>3.0</v>
      </c>
      <c r="D38" s="107">
        <v>7.0</v>
      </c>
      <c r="E38" s="107" t="s">
        <v>26</v>
      </c>
      <c r="F38" s="34"/>
      <c r="G38" s="42" t="s">
        <v>26</v>
      </c>
    </row>
    <row r="39">
      <c r="A39" s="170">
        <v>20.0</v>
      </c>
      <c r="B39" s="109" t="s">
        <v>75</v>
      </c>
      <c r="E39" s="11"/>
      <c r="F39" s="50"/>
      <c r="G39" s="42"/>
    </row>
    <row r="40">
      <c r="A40" s="171"/>
      <c r="B40" s="173" t="s">
        <v>170</v>
      </c>
      <c r="C40" s="13"/>
      <c r="D40" s="13"/>
      <c r="E40" s="14"/>
      <c r="F40" s="50"/>
      <c r="G40" s="42"/>
    </row>
    <row r="41">
      <c r="A41" s="209" t="s">
        <v>17</v>
      </c>
      <c r="B41" s="214" t="str">
        <f>HYPERLINK("https://gamesheet.app/seasons/228/stats/games/48237/box-score?filter%5Bdivision%5D=1541","Box Score")</f>
        <v>Box Score</v>
      </c>
      <c r="C41" s="107">
        <v>1.0</v>
      </c>
      <c r="D41" s="107">
        <v>11.0</v>
      </c>
      <c r="E41" s="107" t="s">
        <v>26</v>
      </c>
      <c r="F41" s="50"/>
      <c r="G41" s="42" t="s">
        <v>26</v>
      </c>
    </row>
    <row r="42">
      <c r="A42" s="215">
        <v>27.0</v>
      </c>
      <c r="B42" s="109" t="s">
        <v>38</v>
      </c>
      <c r="E42" s="11"/>
      <c r="F42" s="50"/>
      <c r="G42" s="42"/>
    </row>
    <row r="43">
      <c r="A43" s="171"/>
      <c r="B43" s="173" t="s">
        <v>170</v>
      </c>
      <c r="C43" s="13"/>
      <c r="D43" s="13"/>
      <c r="E43" s="14"/>
      <c r="F43" s="50"/>
      <c r="G43" s="42"/>
    </row>
    <row r="44">
      <c r="A44" s="160" t="s">
        <v>34</v>
      </c>
      <c r="B44" s="161" t="str">
        <f>HYPERLINK("https://gamesheet.app/seasons/228/stats/games/50893/box-score?filter%5Bdivision%5D=1541","Box Score")</f>
        <v>Box Score</v>
      </c>
      <c r="C44" s="90">
        <v>6.0</v>
      </c>
      <c r="D44" s="90">
        <v>2.0</v>
      </c>
      <c r="E44" s="90" t="s">
        <v>19</v>
      </c>
      <c r="F44" s="42"/>
      <c r="G44" s="42"/>
    </row>
    <row r="45">
      <c r="A45" s="162">
        <v>3.0</v>
      </c>
      <c r="B45" s="210" t="s">
        <v>51</v>
      </c>
      <c r="E45" s="11"/>
      <c r="F45" s="50"/>
      <c r="G45" s="42"/>
    </row>
    <row r="46">
      <c r="A46" s="244"/>
      <c r="B46" s="245" t="s">
        <v>170</v>
      </c>
      <c r="C46" s="13"/>
      <c r="D46" s="13"/>
      <c r="E46" s="14"/>
      <c r="F46" s="50"/>
      <c r="G46" s="42"/>
    </row>
    <row r="47">
      <c r="A47" s="209" t="s">
        <v>34</v>
      </c>
      <c r="B47" s="214" t="str">
        <f>HYPERLINK("https://gamesheet.app/seasons/228/stats/games/53111/box-score?filter%5Bdivision%5D=1541","Box Score")</f>
        <v>Box Score</v>
      </c>
      <c r="C47" s="107">
        <v>5.0</v>
      </c>
      <c r="D47" s="107">
        <v>4.0</v>
      </c>
      <c r="E47" s="107" t="s">
        <v>19</v>
      </c>
      <c r="F47" s="50"/>
      <c r="G47" s="42" t="s">
        <v>19</v>
      </c>
    </row>
    <row r="48">
      <c r="A48" s="217">
        <v>9.0</v>
      </c>
      <c r="B48" s="109" t="s">
        <v>182</v>
      </c>
      <c r="E48" s="11"/>
      <c r="F48" s="50"/>
      <c r="G48" s="42"/>
    </row>
    <row r="49">
      <c r="A49" s="171"/>
      <c r="B49" s="173" t="s">
        <v>170</v>
      </c>
      <c r="C49" s="13"/>
      <c r="D49" s="13"/>
      <c r="E49" s="14"/>
      <c r="F49" s="50"/>
      <c r="G49" s="42"/>
    </row>
    <row r="50">
      <c r="A50" s="209" t="s">
        <v>34</v>
      </c>
      <c r="B50" s="214" t="str">
        <f>HYPERLINK("https://gamesheet.app/seasons/228/stats/games/55591/box-score?filter%5Bdivision%5D=1541","Box Score")</f>
        <v>Box Score</v>
      </c>
      <c r="C50" s="107">
        <v>7.0</v>
      </c>
      <c r="D50" s="107">
        <v>4.0</v>
      </c>
      <c r="E50" s="107" t="s">
        <v>19</v>
      </c>
      <c r="F50" s="50"/>
      <c r="G50" s="42" t="s">
        <v>19</v>
      </c>
    </row>
    <row r="51">
      <c r="A51" s="217">
        <v>15.0</v>
      </c>
      <c r="B51" s="118" t="s">
        <v>206</v>
      </c>
      <c r="E51" s="11"/>
      <c r="F51" s="50"/>
      <c r="G51" s="42"/>
    </row>
    <row r="52">
      <c r="A52" s="171"/>
      <c r="B52" s="53" t="s">
        <v>143</v>
      </c>
      <c r="C52" s="13"/>
      <c r="D52" s="13"/>
      <c r="E52" s="14"/>
      <c r="F52" s="50"/>
      <c r="G52" s="42"/>
    </row>
    <row r="53">
      <c r="A53" s="155"/>
      <c r="E53" s="11"/>
      <c r="F53" s="50"/>
      <c r="G53" s="42"/>
    </row>
    <row r="54">
      <c r="A54" s="157" t="s">
        <v>209</v>
      </c>
      <c r="B54" s="132"/>
      <c r="C54" s="132"/>
      <c r="D54" s="132"/>
      <c r="E54" s="133"/>
      <c r="F54" s="50"/>
      <c r="G54" s="42"/>
    </row>
    <row r="55">
      <c r="A55" s="159" t="s">
        <v>211</v>
      </c>
      <c r="E55" s="11"/>
      <c r="F55" s="50"/>
      <c r="G55" s="42"/>
    </row>
    <row r="56">
      <c r="A56" s="160" t="s">
        <v>34</v>
      </c>
      <c r="B56" s="161" t="str">
        <f>HYPERLINK("https://gamesheet.app/seasons/228/stats/games/57947/box-score?filter%5Bdivision%5D=1541","Box Score")</f>
        <v>Box Score</v>
      </c>
      <c r="C56" s="90">
        <v>5.0</v>
      </c>
      <c r="D56" s="90">
        <v>1.0</v>
      </c>
      <c r="E56" s="90" t="s">
        <v>19</v>
      </c>
      <c r="F56" s="50"/>
      <c r="G56" s="42"/>
    </row>
    <row r="57">
      <c r="A57" s="162">
        <v>22.0</v>
      </c>
      <c r="B57" s="210" t="s">
        <v>53</v>
      </c>
      <c r="E57" s="11"/>
      <c r="F57" s="42"/>
      <c r="G57" s="42"/>
    </row>
    <row r="58">
      <c r="A58" s="164"/>
      <c r="B58" s="13"/>
      <c r="C58" s="13"/>
      <c r="D58" s="13"/>
      <c r="E58" s="14"/>
      <c r="F58" s="42"/>
      <c r="G58" s="42"/>
    </row>
    <row r="59">
      <c r="A59" s="160" t="s">
        <v>34</v>
      </c>
      <c r="B59" s="3"/>
      <c r="C59" s="90">
        <v>3.0</v>
      </c>
      <c r="D59" s="90">
        <v>2.0</v>
      </c>
      <c r="E59" s="90" t="s">
        <v>19</v>
      </c>
      <c r="F59" s="42"/>
      <c r="G59" s="42"/>
    </row>
    <row r="60">
      <c r="A60" s="162">
        <v>23.0</v>
      </c>
      <c r="B60" s="210" t="s">
        <v>215</v>
      </c>
      <c r="E60" s="11"/>
      <c r="F60" s="42"/>
      <c r="G60" s="42"/>
    </row>
    <row r="61">
      <c r="A61" s="164"/>
      <c r="B61" s="13"/>
      <c r="C61" s="13"/>
      <c r="D61" s="13"/>
      <c r="E61" s="14"/>
      <c r="F61" s="42"/>
      <c r="G61" s="42"/>
    </row>
    <row r="62">
      <c r="A62" s="165" t="s">
        <v>34</v>
      </c>
      <c r="B62" s="276" t="str">
        <f>HYPERLINK("https://gamesheet.app/seasons/228/stats/games/59566/box-score?filter%5Bdivision%5D=1541","Box Score")</f>
        <v>Box Score</v>
      </c>
      <c r="C62" s="90">
        <v>6.0</v>
      </c>
      <c r="D62" s="90">
        <v>4.0</v>
      </c>
      <c r="E62" s="90" t="s">
        <v>19</v>
      </c>
      <c r="F62" s="34"/>
      <c r="G62" s="42"/>
    </row>
    <row r="63">
      <c r="A63" s="162">
        <v>24.0</v>
      </c>
      <c r="B63" s="210" t="s">
        <v>219</v>
      </c>
      <c r="E63" s="11"/>
      <c r="F63" s="34"/>
      <c r="G63" s="42"/>
    </row>
    <row r="64">
      <c r="A64" s="278"/>
      <c r="E64" s="11"/>
      <c r="F64" s="34"/>
      <c r="G64" s="42"/>
    </row>
    <row r="65">
      <c r="A65" s="187"/>
      <c r="B65" s="136"/>
      <c r="C65" s="136"/>
      <c r="D65" s="136"/>
      <c r="E65" s="137"/>
      <c r="F65" s="34"/>
      <c r="G65" s="42"/>
    </row>
    <row r="66">
      <c r="A66" s="185" t="s">
        <v>61</v>
      </c>
      <c r="B66" s="224" t="str">
        <f>HYPERLINK("https://gamesheet.app/seasons/228/stats/games/63921/box-score?filter%5Bdivision%5D=1541","Box Score")</f>
        <v>Box Score</v>
      </c>
      <c r="C66" s="199">
        <v>7.0</v>
      </c>
      <c r="D66" s="199">
        <v>3.0</v>
      </c>
      <c r="E66" s="199" t="s">
        <v>19</v>
      </c>
      <c r="F66" s="34"/>
      <c r="G66" s="42" t="s">
        <v>19</v>
      </c>
    </row>
    <row r="67">
      <c r="A67" s="170">
        <v>6.0</v>
      </c>
      <c r="B67" s="109" t="s">
        <v>213</v>
      </c>
      <c r="E67" s="11"/>
      <c r="F67" s="34"/>
      <c r="G67" s="42"/>
    </row>
    <row r="68">
      <c r="A68" s="171"/>
      <c r="B68" s="173" t="s">
        <v>170</v>
      </c>
      <c r="C68" s="13"/>
      <c r="D68" s="13"/>
      <c r="E68" s="14"/>
      <c r="F68" s="34"/>
      <c r="G68" s="42"/>
    </row>
    <row r="69">
      <c r="A69" s="220" t="s">
        <v>68</v>
      </c>
      <c r="B69" s="3"/>
      <c r="C69" s="90"/>
      <c r="D69" s="90"/>
      <c r="E69" s="90" t="s">
        <v>221</v>
      </c>
      <c r="F69" s="34"/>
      <c r="G69" s="42"/>
    </row>
    <row r="70">
      <c r="A70" s="223">
        <v>18.0</v>
      </c>
      <c r="B70" s="210" t="s">
        <v>222</v>
      </c>
      <c r="E70" s="11"/>
      <c r="F70" s="34"/>
      <c r="G70" s="42"/>
    </row>
    <row r="71">
      <c r="A71" s="244"/>
      <c r="B71" s="245" t="s">
        <v>170</v>
      </c>
      <c r="C71" s="13"/>
      <c r="D71" s="13"/>
      <c r="E71" s="14"/>
      <c r="F71" s="34"/>
      <c r="G71" s="42"/>
    </row>
    <row r="72">
      <c r="A72" s="168" t="s">
        <v>68</v>
      </c>
      <c r="B72" s="169" t="str">
        <f>HYPERLINK("https://gamesheet.app/seasons/228/stats/games/81859/box-score?utm_source=post_game&amp;utm_medium=email&amp;utm_campaign=post_game_report&amp;utm_content=view_box_score","Box Score")</f>
        <v>Box Score</v>
      </c>
      <c r="C72" s="107">
        <v>3.0</v>
      </c>
      <c r="D72" s="107">
        <v>2.0</v>
      </c>
      <c r="E72" s="107" t="s">
        <v>19</v>
      </c>
      <c r="F72" s="34"/>
      <c r="G72" s="42" t="s">
        <v>19</v>
      </c>
    </row>
    <row r="73">
      <c r="A73" s="170">
        <v>24.0</v>
      </c>
      <c r="B73" s="109" t="s">
        <v>65</v>
      </c>
      <c r="E73" s="11"/>
      <c r="F73" s="34"/>
      <c r="G73" s="42"/>
    </row>
    <row r="74">
      <c r="A74" s="171"/>
      <c r="B74" s="173" t="s">
        <v>170</v>
      </c>
      <c r="C74" s="13"/>
      <c r="D74" s="13"/>
      <c r="E74" s="14"/>
      <c r="F74" s="34"/>
      <c r="G74" s="42"/>
    </row>
    <row r="75">
      <c r="A75" s="220" t="s">
        <v>68</v>
      </c>
      <c r="B75" s="221" t="str">
        <f>HYPERLINK("https://gamesheet.app/seasons/228/stats/games/83775/box-score?utm_source=post_game&amp;utm_medium=email&amp;utm_campaign=post_game_report&amp;utm_content=view_box_score","Box Score")</f>
        <v>Box Score</v>
      </c>
      <c r="C75" s="90">
        <v>2.0</v>
      </c>
      <c r="D75" s="90">
        <v>3.0</v>
      </c>
      <c r="E75" s="90" t="s">
        <v>26</v>
      </c>
      <c r="F75" s="34"/>
      <c r="G75" s="42"/>
    </row>
    <row r="76">
      <c r="A76" s="223">
        <v>31.0</v>
      </c>
      <c r="B76" s="210" t="s">
        <v>228</v>
      </c>
      <c r="E76" s="11"/>
      <c r="F76" s="34"/>
      <c r="G76" s="42"/>
    </row>
    <row r="77">
      <c r="A77" s="244"/>
      <c r="B77" s="245" t="s">
        <v>137</v>
      </c>
      <c r="C77" s="13"/>
      <c r="D77" s="13"/>
      <c r="E77" s="14"/>
      <c r="F77" s="34"/>
      <c r="G77" s="42"/>
    </row>
    <row r="78">
      <c r="A78" s="168" t="s">
        <v>74</v>
      </c>
      <c r="B78" s="169" t="str">
        <f>HYPERLINK("https://gamesheet.app/seasons/228/stats/games/86316/box-score?utm_source=post_game&amp;utm_medium=email&amp;utm_campaign=post_game_report&amp;utm_content=view_box_score","Box Score")</f>
        <v>Box Score</v>
      </c>
      <c r="C78" s="107">
        <v>6.0</v>
      </c>
      <c r="D78" s="107">
        <v>2.0</v>
      </c>
      <c r="E78" s="107" t="s">
        <v>19</v>
      </c>
      <c r="F78" s="42"/>
      <c r="G78" s="42" t="s">
        <v>19</v>
      </c>
    </row>
    <row r="79">
      <c r="A79" s="43">
        <v>7.0</v>
      </c>
      <c r="B79" s="118" t="s">
        <v>174</v>
      </c>
      <c r="E79" s="11"/>
      <c r="F79" s="42"/>
      <c r="G79" s="42"/>
    </row>
    <row r="80">
      <c r="A80" s="171"/>
      <c r="B80" s="173" t="s">
        <v>218</v>
      </c>
      <c r="C80" s="13"/>
      <c r="D80" s="13"/>
      <c r="E80" s="14"/>
      <c r="F80" s="42"/>
      <c r="G80" s="42"/>
    </row>
    <row r="81">
      <c r="A81" s="168" t="s">
        <v>74</v>
      </c>
      <c r="B81" s="169" t="str">
        <f>HYPERLINK("https://gamesheet.app/seasons/228/stats/games/87809/box-score?utm_source=post_game&amp;utm_medium=email&amp;utm_campaign=post_game_report&amp;utm_content=view_box_score","Box Score")</f>
        <v>Box Score</v>
      </c>
      <c r="C81" s="107">
        <v>2.0</v>
      </c>
      <c r="D81" s="107">
        <v>4.0</v>
      </c>
      <c r="E81" s="107" t="s">
        <v>26</v>
      </c>
      <c r="F81" s="34"/>
      <c r="G81" s="42" t="s">
        <v>26</v>
      </c>
    </row>
    <row r="82">
      <c r="A82" s="170">
        <v>9.0</v>
      </c>
      <c r="B82" s="109" t="s">
        <v>186</v>
      </c>
      <c r="E82" s="11"/>
      <c r="F82" s="34"/>
      <c r="G82" s="42"/>
    </row>
    <row r="83">
      <c r="A83" s="171"/>
      <c r="B83" s="173" t="s">
        <v>107</v>
      </c>
      <c r="C83" s="13"/>
      <c r="D83" s="13"/>
      <c r="E83" s="14"/>
      <c r="F83" s="34"/>
      <c r="G83" s="42"/>
    </row>
    <row r="84">
      <c r="A84" s="168" t="s">
        <v>74</v>
      </c>
      <c r="B84" s="169" t="str">
        <f>HYPERLINK("https://gamesheet.app/seasons/228/stats/games/89382/box-score?filter%5Bdivision%5D=1541","Box Score")</f>
        <v>Box Score</v>
      </c>
      <c r="C84" s="107">
        <v>15.0</v>
      </c>
      <c r="D84" s="107">
        <v>0.0</v>
      </c>
      <c r="E84" s="107" t="s">
        <v>19</v>
      </c>
      <c r="F84" s="34"/>
      <c r="G84" s="42" t="s">
        <v>19</v>
      </c>
    </row>
    <row r="85">
      <c r="A85" s="170">
        <v>14.0</v>
      </c>
      <c r="B85" s="109" t="s">
        <v>25</v>
      </c>
      <c r="E85" s="11"/>
      <c r="F85" s="34"/>
      <c r="G85" s="42"/>
    </row>
    <row r="86">
      <c r="A86" s="171"/>
      <c r="B86" s="173" t="s">
        <v>170</v>
      </c>
      <c r="C86" s="13"/>
      <c r="D86" s="13"/>
      <c r="E86" s="14"/>
      <c r="F86" s="34"/>
      <c r="G86" s="42"/>
    </row>
    <row r="87">
      <c r="A87" s="168" t="s">
        <v>74</v>
      </c>
      <c r="B87" s="169" t="str">
        <f>HYPERLINK("https://gamesheet.app/seasons/228/stats/games/90747/box-score?filter%5Bdivision%5D=1541","Box Score")</f>
        <v>Box Score</v>
      </c>
      <c r="C87" s="107">
        <v>2.0</v>
      </c>
      <c r="D87" s="107">
        <v>3.0</v>
      </c>
      <c r="E87" s="107" t="s">
        <v>26</v>
      </c>
      <c r="F87" s="6"/>
      <c r="G87" s="116" t="s">
        <v>26</v>
      </c>
    </row>
    <row r="88">
      <c r="A88" s="43">
        <v>16.0</v>
      </c>
      <c r="B88" s="118" t="s">
        <v>203</v>
      </c>
      <c r="E88" s="11"/>
      <c r="F88" s="6"/>
      <c r="G88" s="116"/>
    </row>
    <row r="89">
      <c r="A89" s="176"/>
      <c r="B89" s="285" t="s">
        <v>91</v>
      </c>
      <c r="E89" s="11"/>
      <c r="F89" s="6"/>
      <c r="G89" s="116"/>
    </row>
    <row r="90">
      <c r="A90" s="234"/>
      <c r="B90" s="136"/>
      <c r="C90" s="136"/>
      <c r="D90" s="136"/>
      <c r="E90" s="137"/>
      <c r="F90" s="6"/>
      <c r="G90" s="6"/>
    </row>
    <row r="91">
      <c r="A91" s="135" t="s">
        <v>234</v>
      </c>
      <c r="B91" s="136"/>
      <c r="C91" s="136"/>
      <c r="D91" s="136"/>
      <c r="E91" s="137"/>
      <c r="F91" s="126"/>
      <c r="G91" s="34"/>
    </row>
    <row r="92">
      <c r="A92" s="127" t="s">
        <v>107</v>
      </c>
      <c r="E92" s="11"/>
      <c r="F92" s="42"/>
      <c r="G92" s="42"/>
    </row>
    <row r="93">
      <c r="A93" s="168" t="s">
        <v>74</v>
      </c>
      <c r="B93" s="169" t="str">
        <f>HYPERLINK("https://gamesheet.app/seasons/228/stats/games/92400/box-score?filter%5Bdivision%5D=1541","Box Score")</f>
        <v>Box Score</v>
      </c>
      <c r="C93" s="107">
        <v>8.0</v>
      </c>
      <c r="D93" s="107">
        <v>1.0</v>
      </c>
      <c r="E93" s="107" t="s">
        <v>19</v>
      </c>
      <c r="F93" s="42"/>
      <c r="G93" s="42" t="s">
        <v>19</v>
      </c>
    </row>
    <row r="94">
      <c r="A94" s="170">
        <v>22.0</v>
      </c>
      <c r="B94" s="109" t="s">
        <v>182</v>
      </c>
      <c r="E94" s="11"/>
      <c r="F94" s="116"/>
      <c r="G94" s="116"/>
    </row>
    <row r="95">
      <c r="A95" s="180" t="s">
        <v>96</v>
      </c>
      <c r="B95" s="13"/>
      <c r="C95" s="13"/>
      <c r="D95" s="13"/>
      <c r="E95" s="14"/>
      <c r="F95" s="116"/>
      <c r="G95" s="116"/>
    </row>
    <row r="96">
      <c r="A96" s="168" t="s">
        <v>74</v>
      </c>
      <c r="B96" s="120"/>
      <c r="C96" s="107">
        <v>2.0</v>
      </c>
      <c r="D96" s="107">
        <v>4.0</v>
      </c>
      <c r="E96" s="107" t="s">
        <v>26</v>
      </c>
      <c r="F96" s="116"/>
      <c r="G96" s="116" t="s">
        <v>26</v>
      </c>
    </row>
    <row r="97">
      <c r="A97" s="170">
        <v>23.0</v>
      </c>
      <c r="B97" s="109" t="s">
        <v>186</v>
      </c>
      <c r="E97" s="11"/>
      <c r="F97" s="116"/>
      <c r="G97" s="116"/>
    </row>
    <row r="98">
      <c r="A98" s="238" t="s">
        <v>96</v>
      </c>
      <c r="E98" s="11"/>
      <c r="F98" s="116"/>
      <c r="G98" s="116"/>
    </row>
    <row r="99">
      <c r="A99" s="239"/>
      <c r="B99" s="136"/>
      <c r="C99" s="136"/>
      <c r="D99" s="136"/>
      <c r="E99" s="137"/>
      <c r="F99" s="116"/>
      <c r="G99" s="116"/>
    </row>
    <row r="100">
      <c r="A100" s="227" t="s">
        <v>106</v>
      </c>
      <c r="B100" s="312"/>
      <c r="C100" s="243">
        <v>11.0</v>
      </c>
      <c r="D100" s="243">
        <v>1.0</v>
      </c>
      <c r="E100" s="243" t="s">
        <v>19</v>
      </c>
      <c r="F100" s="116"/>
      <c r="G100" s="116"/>
    </row>
    <row r="101">
      <c r="A101" s="223">
        <v>6.0</v>
      </c>
      <c r="B101" s="229" t="s">
        <v>181</v>
      </c>
      <c r="E101" s="11"/>
      <c r="F101" s="116"/>
      <c r="G101" s="116"/>
    </row>
    <row r="102">
      <c r="A102" s="159"/>
      <c r="B102" s="315" t="s">
        <v>170</v>
      </c>
      <c r="E102" s="11"/>
      <c r="F102" s="19"/>
      <c r="G102" s="116"/>
    </row>
    <row r="103">
      <c r="A103" s="234"/>
      <c r="B103" s="136"/>
      <c r="C103" s="136"/>
      <c r="D103" s="136"/>
      <c r="E103" s="137"/>
      <c r="F103" s="19"/>
      <c r="G103" s="116"/>
    </row>
    <row r="104">
      <c r="A104" s="135" t="s">
        <v>243</v>
      </c>
      <c r="B104" s="136"/>
      <c r="C104" s="136"/>
      <c r="D104" s="136"/>
      <c r="E104" s="137"/>
      <c r="F104" s="19"/>
      <c r="G104" s="116"/>
    </row>
    <row r="105">
      <c r="A105" s="139" t="s">
        <v>244</v>
      </c>
      <c r="E105" s="11"/>
      <c r="F105" s="19"/>
      <c r="G105" s="116"/>
    </row>
    <row r="106">
      <c r="A106" s="141" t="s">
        <v>47</v>
      </c>
      <c r="B106" s="13"/>
      <c r="C106" s="13"/>
      <c r="D106" s="13"/>
      <c r="E106" s="14"/>
      <c r="F106" s="19"/>
      <c r="G106" s="116"/>
    </row>
    <row r="107">
      <c r="A107" s="168" t="s">
        <v>106</v>
      </c>
      <c r="B107" s="169" t="str">
        <f>HYPERLINK("https://gamesheet.app/seasons/466/stats/games/98689/box-score?utm_source=post_game&amp;utm_medium=email&amp;utm_campaign=post_game_report&amp;utm_content=view_box_score","Box Score")</f>
        <v>Box Score</v>
      </c>
      <c r="C107" s="107">
        <v>5.0</v>
      </c>
      <c r="D107" s="107">
        <v>4.0</v>
      </c>
      <c r="E107" s="107" t="s">
        <v>19</v>
      </c>
      <c r="F107" s="19"/>
      <c r="G107" s="116"/>
    </row>
    <row r="108">
      <c r="A108" s="170">
        <v>10.0</v>
      </c>
      <c r="B108" s="109" t="s">
        <v>249</v>
      </c>
      <c r="E108" s="11"/>
      <c r="F108" s="19"/>
      <c r="G108" s="116"/>
    </row>
    <row r="109">
      <c r="A109" s="180" t="s">
        <v>251</v>
      </c>
      <c r="B109" s="13"/>
      <c r="C109" s="13"/>
      <c r="D109" s="13"/>
      <c r="E109" s="14"/>
      <c r="F109" s="19"/>
      <c r="G109" s="116"/>
    </row>
    <row r="110">
      <c r="A110" s="185" t="s">
        <v>106</v>
      </c>
      <c r="B110" s="224" t="str">
        <f>HYPERLINK("https://gamesheet.app/seasons/466/stats/games/99082/box-score?utm_source=post_game&amp;utm_medium=email&amp;utm_campaign=post_game_report&amp;utm_content=view_box_score","Box Score")</f>
        <v>Box Score</v>
      </c>
      <c r="C110" s="107">
        <v>5.0</v>
      </c>
      <c r="D110" s="107">
        <v>3.0</v>
      </c>
      <c r="E110" s="107" t="s">
        <v>19</v>
      </c>
      <c r="F110" s="19"/>
      <c r="G110" s="116"/>
    </row>
    <row r="111">
      <c r="A111" s="170">
        <v>11.0</v>
      </c>
      <c r="B111" s="109" t="s">
        <v>260</v>
      </c>
      <c r="E111" s="11"/>
      <c r="F111" s="19"/>
      <c r="G111" s="116"/>
    </row>
    <row r="112">
      <c r="A112" s="180" t="s">
        <v>261</v>
      </c>
      <c r="B112" s="13"/>
      <c r="C112" s="13"/>
      <c r="D112" s="13"/>
      <c r="E112" s="14"/>
      <c r="F112" s="19"/>
      <c r="G112" s="116"/>
    </row>
    <row r="113">
      <c r="A113" s="185" t="s">
        <v>106</v>
      </c>
      <c r="B113" s="224" t="str">
        <f>HYPERLINK("https://gamesheet.app/seasons/466/stats/games/99091/box-score?utm_source=post_game&amp;utm_medium=email&amp;utm_campaign=post_game_report&amp;utm_content=view_box_score","Box Score")</f>
        <v>Box Score</v>
      </c>
      <c r="C113" s="107">
        <v>12.0</v>
      </c>
      <c r="D113" s="107">
        <v>1.0</v>
      </c>
      <c r="E113" s="107" t="s">
        <v>19</v>
      </c>
      <c r="F113" s="19"/>
      <c r="G113" s="116"/>
    </row>
    <row r="114">
      <c r="A114" s="170">
        <v>12.0</v>
      </c>
      <c r="B114" s="109" t="s">
        <v>268</v>
      </c>
      <c r="E114" s="11"/>
      <c r="F114" s="19"/>
      <c r="G114" s="116"/>
    </row>
    <row r="115">
      <c r="A115" s="180" t="s">
        <v>269</v>
      </c>
      <c r="B115" s="13"/>
      <c r="C115" s="13"/>
      <c r="D115" s="13"/>
      <c r="E115" s="14"/>
      <c r="F115" s="19"/>
      <c r="G115" s="116"/>
    </row>
    <row r="116">
      <c r="A116" s="185" t="s">
        <v>106</v>
      </c>
      <c r="C116" s="107"/>
      <c r="D116" s="107"/>
      <c r="E116" s="107"/>
      <c r="F116" s="19"/>
      <c r="G116" s="116"/>
    </row>
    <row r="117">
      <c r="A117" s="170">
        <v>13.0</v>
      </c>
      <c r="B117" s="109"/>
      <c r="E117" s="11"/>
      <c r="F117" s="19"/>
      <c r="G117" s="116"/>
    </row>
    <row r="118">
      <c r="A118" s="246" t="s">
        <v>271</v>
      </c>
      <c r="E118" s="11"/>
      <c r="F118" s="19"/>
      <c r="G118" s="116"/>
    </row>
    <row r="119">
      <c r="A119" s="187"/>
      <c r="B119" s="136"/>
      <c r="C119" s="136"/>
      <c r="D119" s="136"/>
      <c r="E119" s="137"/>
      <c r="F119" s="19"/>
      <c r="G119" s="116"/>
    </row>
    <row r="120">
      <c r="A120" s="149" t="s">
        <v>108</v>
      </c>
      <c r="C120" s="151">
        <f t="shared" ref="C120:D120" si="1">SUM(C11:C119)</f>
        <v>160</v>
      </c>
      <c r="D120" s="151">
        <f t="shared" si="1"/>
        <v>81</v>
      </c>
      <c r="E120" s="152"/>
      <c r="F120" s="6"/>
      <c r="G120" s="6"/>
    </row>
    <row r="121">
      <c r="A121" s="156" t="s">
        <v>112</v>
      </c>
      <c r="B121" s="13"/>
      <c r="C121" s="158" t="s">
        <v>116</v>
      </c>
      <c r="D121" s="13"/>
      <c r="E121" s="14"/>
      <c r="F121" s="154"/>
      <c r="G121" s="6"/>
    </row>
  </sheetData>
  <mergeCells count="94">
    <mergeCell ref="B57:E57"/>
    <mergeCell ref="A58:E58"/>
    <mergeCell ref="A59:B59"/>
    <mergeCell ref="B60:E60"/>
    <mergeCell ref="A61:E61"/>
    <mergeCell ref="B63:E63"/>
    <mergeCell ref="A64:E64"/>
    <mergeCell ref="A65:E65"/>
    <mergeCell ref="B67:E67"/>
    <mergeCell ref="B68:E68"/>
    <mergeCell ref="A69:B69"/>
    <mergeCell ref="B70:E70"/>
    <mergeCell ref="B71:E71"/>
    <mergeCell ref="B73:E73"/>
    <mergeCell ref="B85:E85"/>
    <mergeCell ref="B86:E86"/>
    <mergeCell ref="B88:E88"/>
    <mergeCell ref="B89:E89"/>
    <mergeCell ref="A90:E90"/>
    <mergeCell ref="A91:E91"/>
    <mergeCell ref="A92:E92"/>
    <mergeCell ref="B94:E94"/>
    <mergeCell ref="A95:E95"/>
    <mergeCell ref="B97:E97"/>
    <mergeCell ref="A98:E98"/>
    <mergeCell ref="A99:E99"/>
    <mergeCell ref="B101:E101"/>
    <mergeCell ref="B102:E102"/>
    <mergeCell ref="A103:E103"/>
    <mergeCell ref="A104:E104"/>
    <mergeCell ref="A105:E105"/>
    <mergeCell ref="A106:E106"/>
    <mergeCell ref="B108:E108"/>
    <mergeCell ref="A109:E109"/>
    <mergeCell ref="B111:E111"/>
    <mergeCell ref="A120:B120"/>
    <mergeCell ref="A121:B121"/>
    <mergeCell ref="C121:E121"/>
    <mergeCell ref="A112:E112"/>
    <mergeCell ref="B114:E114"/>
    <mergeCell ref="A115:E115"/>
    <mergeCell ref="A116:B116"/>
    <mergeCell ref="B117:E117"/>
    <mergeCell ref="A118:E118"/>
    <mergeCell ref="A119:E119"/>
    <mergeCell ref="A1:B1"/>
    <mergeCell ref="C1:E1"/>
    <mergeCell ref="A2:B2"/>
    <mergeCell ref="C2:E2"/>
    <mergeCell ref="A3:E3"/>
    <mergeCell ref="A5:E6"/>
    <mergeCell ref="A7:B7"/>
    <mergeCell ref="A8:E8"/>
    <mergeCell ref="A9:E9"/>
    <mergeCell ref="A10:E10"/>
    <mergeCell ref="A11:E11"/>
    <mergeCell ref="A12:E12"/>
    <mergeCell ref="B14:E14"/>
    <mergeCell ref="A15:E15"/>
    <mergeCell ref="B17:E17"/>
    <mergeCell ref="A18:E18"/>
    <mergeCell ref="B20:E20"/>
    <mergeCell ref="A21:E21"/>
    <mergeCell ref="B23:E23"/>
    <mergeCell ref="A24:E24"/>
    <mergeCell ref="A25:E25"/>
    <mergeCell ref="B27:E27"/>
    <mergeCell ref="B28:E28"/>
    <mergeCell ref="B30:E30"/>
    <mergeCell ref="B31:E31"/>
    <mergeCell ref="B33:E33"/>
    <mergeCell ref="B34:E34"/>
    <mergeCell ref="B36:E36"/>
    <mergeCell ref="B37:E37"/>
    <mergeCell ref="B39:E39"/>
    <mergeCell ref="B40:E40"/>
    <mergeCell ref="B42:E42"/>
    <mergeCell ref="B43:E43"/>
    <mergeCell ref="B45:E45"/>
    <mergeCell ref="B46:E46"/>
    <mergeCell ref="B48:E48"/>
    <mergeCell ref="B49:E49"/>
    <mergeCell ref="B51:E51"/>
    <mergeCell ref="B52:E52"/>
    <mergeCell ref="A53:E53"/>
    <mergeCell ref="A54:E54"/>
    <mergeCell ref="A55:E55"/>
    <mergeCell ref="B74:E74"/>
    <mergeCell ref="B76:E76"/>
    <mergeCell ref="B77:E77"/>
    <mergeCell ref="B79:E79"/>
    <mergeCell ref="B80:E80"/>
    <mergeCell ref="B82:E82"/>
    <mergeCell ref="B83:E83"/>
  </mergeCells>
  <hyperlinks>
    <hyperlink r:id="rId1" ref="A3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25"/>
    <col customWidth="1" min="2" max="2" width="22.0"/>
    <col customWidth="1" min="3" max="3" width="4.13"/>
    <col customWidth="1" min="4" max="4" width="3.63"/>
    <col customWidth="1" min="5" max="5" width="6.75"/>
    <col customWidth="1" min="6" max="6" width="6.25"/>
    <col customWidth="1" min="7" max="7" width="6.63"/>
  </cols>
  <sheetData>
    <row r="1">
      <c r="A1" s="242" t="s">
        <v>0</v>
      </c>
      <c r="C1" s="10" t="str">
        <f>COUNTIF(E11:E96,"W")&amp;"-"&amp;COUNTIF(E11:E96,"L")&amp;"-"&amp;COUNTIF(E11:E96,"T")&amp;"-"&amp;COUNTIF(E11:E96,"OTL")</f>
        <v>27-5-2-0</v>
      </c>
      <c r="F1" s="6"/>
      <c r="G1" s="7"/>
    </row>
    <row r="2">
      <c r="A2" s="242" t="s">
        <v>1</v>
      </c>
      <c r="C2" s="10" t="str">
        <f>COUNTIF(G11:G88,"W")&amp;"-"&amp;COUNTIF(G11:G88,"L")&amp;"-"&amp;COUNTIF(G11:G88,"T")&amp;"-"&amp;COUNTIF(G11:G88,"OTL")</f>
        <v>16-0-0-0</v>
      </c>
      <c r="F2" s="6"/>
      <c r="G2" s="6"/>
    </row>
    <row r="3">
      <c r="A3" s="248" t="s">
        <v>2</v>
      </c>
      <c r="F3" s="6"/>
      <c r="G3" s="6"/>
    </row>
    <row r="4">
      <c r="A4" s="249"/>
      <c r="B4" s="17"/>
      <c r="C4" s="16"/>
      <c r="D4" s="16"/>
      <c r="E4" s="16"/>
      <c r="F4" s="19" t="s">
        <v>3</v>
      </c>
      <c r="G4" s="20" t="s">
        <v>4</v>
      </c>
    </row>
    <row r="5">
      <c r="A5" s="250" t="s">
        <v>200</v>
      </c>
      <c r="F5" s="24"/>
      <c r="G5" s="6"/>
    </row>
    <row r="6">
      <c r="F6" s="24"/>
      <c r="G6" s="6"/>
    </row>
    <row r="7">
      <c r="A7" s="251" t="s">
        <v>201</v>
      </c>
      <c r="B7" s="3"/>
      <c r="C7" s="252" t="s">
        <v>8</v>
      </c>
      <c r="D7" s="252" t="s">
        <v>9</v>
      </c>
      <c r="E7" s="253" t="s">
        <v>202</v>
      </c>
      <c r="F7" s="6"/>
      <c r="G7" s="6"/>
    </row>
    <row r="8">
      <c r="A8" s="254" t="s">
        <v>12</v>
      </c>
      <c r="B8" s="13"/>
      <c r="C8" s="13"/>
      <c r="D8" s="13"/>
      <c r="E8" s="14"/>
      <c r="F8" s="34"/>
      <c r="G8" s="34"/>
    </row>
    <row r="9">
      <c r="A9" s="255"/>
      <c r="F9" s="34"/>
      <c r="G9" s="34"/>
    </row>
    <row r="10">
      <c r="A10" s="256" t="s">
        <v>205</v>
      </c>
      <c r="F10" s="34"/>
      <c r="G10" s="34"/>
    </row>
    <row r="11">
      <c r="A11" s="157" t="s">
        <v>178</v>
      </c>
      <c r="B11" s="132"/>
      <c r="C11" s="132"/>
      <c r="D11" s="132"/>
      <c r="E11" s="133"/>
      <c r="F11" s="34"/>
      <c r="G11" s="34"/>
    </row>
    <row r="12">
      <c r="A12" s="257">
        <v>14.0</v>
      </c>
      <c r="B12" s="258" t="s">
        <v>207</v>
      </c>
      <c r="C12" s="258">
        <v>2.0</v>
      </c>
      <c r="D12" s="258">
        <v>4.0</v>
      </c>
      <c r="E12" s="259" t="s">
        <v>26</v>
      </c>
      <c r="F12" s="6"/>
      <c r="G12" s="6"/>
    </row>
    <row r="13">
      <c r="A13" s="260" t="s">
        <v>121</v>
      </c>
      <c r="E13" s="11"/>
      <c r="F13" s="34"/>
      <c r="G13" s="34"/>
    </row>
    <row r="14">
      <c r="A14" s="261">
        <v>15.0</v>
      </c>
      <c r="B14" s="262" t="s">
        <v>208</v>
      </c>
      <c r="C14" s="262">
        <v>4.0</v>
      </c>
      <c r="D14" s="262">
        <v>1.0</v>
      </c>
      <c r="E14" s="263" t="s">
        <v>19</v>
      </c>
      <c r="F14" s="34"/>
      <c r="G14" s="34"/>
    </row>
    <row r="15">
      <c r="A15" s="260" t="s">
        <v>121</v>
      </c>
      <c r="E15" s="11"/>
      <c r="F15" s="34"/>
      <c r="G15" s="34"/>
    </row>
    <row r="16">
      <c r="A16" s="261">
        <v>15.0</v>
      </c>
      <c r="B16" s="262" t="s">
        <v>210</v>
      </c>
      <c r="C16" s="262">
        <v>2.0</v>
      </c>
      <c r="D16" s="262">
        <v>2.0</v>
      </c>
      <c r="E16" s="263" t="s">
        <v>73</v>
      </c>
      <c r="F16" s="34"/>
      <c r="G16" s="34"/>
    </row>
    <row r="17">
      <c r="A17" s="260" t="s">
        <v>121</v>
      </c>
      <c r="E17" s="11"/>
      <c r="F17" s="34"/>
      <c r="G17" s="34"/>
    </row>
    <row r="18">
      <c r="A18" s="261">
        <v>16.0</v>
      </c>
      <c r="B18" s="262" t="s">
        <v>212</v>
      </c>
      <c r="C18" s="262">
        <v>6.0</v>
      </c>
      <c r="D18" s="262">
        <v>0.0</v>
      </c>
      <c r="E18" s="263" t="s">
        <v>19</v>
      </c>
      <c r="F18" s="34"/>
      <c r="G18" s="34"/>
    </row>
    <row r="19">
      <c r="A19" s="267" t="s">
        <v>121</v>
      </c>
      <c r="B19" s="13"/>
      <c r="C19" s="13"/>
      <c r="D19" s="13"/>
      <c r="E19" s="14"/>
      <c r="F19" s="34"/>
      <c r="G19" s="34"/>
    </row>
    <row r="20">
      <c r="A20" s="268"/>
      <c r="F20" s="34"/>
      <c r="G20" s="34"/>
    </row>
    <row r="21">
      <c r="A21" s="269">
        <v>30.0</v>
      </c>
      <c r="B21" s="270" t="s">
        <v>214</v>
      </c>
      <c r="C21" s="270">
        <v>5.0</v>
      </c>
      <c r="D21" s="270">
        <v>6.0</v>
      </c>
      <c r="E21" s="272" t="s">
        <v>26</v>
      </c>
      <c r="F21" s="34"/>
      <c r="G21" s="42"/>
    </row>
    <row r="22">
      <c r="A22" s="275" t="s">
        <v>91</v>
      </c>
      <c r="B22" s="13"/>
      <c r="C22" s="13"/>
      <c r="D22" s="13"/>
      <c r="E22" s="14"/>
      <c r="F22" s="34"/>
      <c r="G22" s="42"/>
    </row>
    <row r="23">
      <c r="A23" s="256" t="s">
        <v>216</v>
      </c>
      <c r="F23" s="42"/>
      <c r="G23" s="42"/>
    </row>
    <row r="24">
      <c r="A24" s="269">
        <v>6.0</v>
      </c>
      <c r="B24" s="270" t="s">
        <v>217</v>
      </c>
      <c r="C24" s="270">
        <v>8.0</v>
      </c>
      <c r="D24" s="270">
        <v>2.0</v>
      </c>
      <c r="E24" s="272" t="s">
        <v>19</v>
      </c>
      <c r="F24" s="42"/>
      <c r="G24" s="42"/>
    </row>
    <row r="25">
      <c r="A25" s="279" t="s">
        <v>218</v>
      </c>
      <c r="E25" s="11"/>
      <c r="F25" s="42"/>
      <c r="G25" s="42"/>
    </row>
    <row r="26">
      <c r="A26" s="281">
        <v>7.0</v>
      </c>
      <c r="B26" s="255" t="s">
        <v>35</v>
      </c>
      <c r="C26" s="255">
        <v>10.0</v>
      </c>
      <c r="D26" s="255">
        <v>3.0</v>
      </c>
      <c r="E26" s="282" t="s">
        <v>19</v>
      </c>
      <c r="F26" s="34"/>
      <c r="G26" s="42" t="s">
        <v>19</v>
      </c>
    </row>
    <row r="27">
      <c r="A27" s="283" t="s">
        <v>16</v>
      </c>
      <c r="E27" s="11"/>
      <c r="F27" s="34"/>
      <c r="G27" s="42"/>
    </row>
    <row r="28">
      <c r="A28" s="284">
        <v>14.0</v>
      </c>
      <c r="B28" s="255" t="s">
        <v>67</v>
      </c>
      <c r="C28" s="255">
        <v>7.0</v>
      </c>
      <c r="D28" s="255">
        <v>0.0</v>
      </c>
      <c r="E28" s="282" t="s">
        <v>19</v>
      </c>
      <c r="F28" s="34"/>
      <c r="G28" s="42" t="s">
        <v>19</v>
      </c>
    </row>
    <row r="29">
      <c r="A29" s="283" t="s">
        <v>16</v>
      </c>
      <c r="E29" s="11"/>
      <c r="F29" s="34"/>
      <c r="G29" s="42"/>
    </row>
    <row r="30">
      <c r="A30" s="284">
        <v>26.0</v>
      </c>
      <c r="B30" s="255" t="s">
        <v>220</v>
      </c>
      <c r="C30" s="255">
        <v>4.0</v>
      </c>
      <c r="D30" s="255">
        <v>1.0</v>
      </c>
      <c r="E30" s="282" t="s">
        <v>19</v>
      </c>
      <c r="F30" s="34"/>
      <c r="G30" s="42" t="s">
        <v>19</v>
      </c>
    </row>
    <row r="31">
      <c r="A31" s="283" t="s">
        <v>87</v>
      </c>
      <c r="E31" s="11"/>
      <c r="F31" s="50"/>
      <c r="G31" s="42"/>
    </row>
    <row r="32">
      <c r="A32" s="284">
        <v>28.0</v>
      </c>
      <c r="B32" s="255" t="s">
        <v>15</v>
      </c>
      <c r="C32" s="255">
        <v>4.0</v>
      </c>
      <c r="D32" s="255">
        <v>2.0</v>
      </c>
      <c r="E32" s="282" t="s">
        <v>19</v>
      </c>
      <c r="F32" s="50"/>
      <c r="G32" s="42" t="s">
        <v>19</v>
      </c>
    </row>
    <row r="33">
      <c r="A33" s="254" t="s">
        <v>16</v>
      </c>
      <c r="B33" s="13"/>
      <c r="C33" s="13"/>
      <c r="D33" s="13"/>
      <c r="E33" s="14"/>
      <c r="F33" s="50"/>
      <c r="G33" s="42"/>
    </row>
    <row r="34">
      <c r="A34" s="256" t="s">
        <v>224</v>
      </c>
      <c r="F34" s="42"/>
      <c r="G34" s="42"/>
    </row>
    <row r="35">
      <c r="A35" s="292">
        <v>3.0</v>
      </c>
      <c r="B35" s="293" t="s">
        <v>225</v>
      </c>
      <c r="C35" s="293">
        <v>10.0</v>
      </c>
      <c r="D35" s="293">
        <v>3.0</v>
      </c>
      <c r="E35" s="294" t="s">
        <v>19</v>
      </c>
      <c r="F35" s="42"/>
      <c r="G35" s="42" t="s">
        <v>19</v>
      </c>
    </row>
    <row r="36">
      <c r="A36" s="283" t="s">
        <v>226</v>
      </c>
      <c r="E36" s="11"/>
      <c r="F36" s="50"/>
      <c r="G36" s="42"/>
    </row>
    <row r="37">
      <c r="A37" s="284">
        <v>4.0</v>
      </c>
      <c r="B37" s="255" t="s">
        <v>227</v>
      </c>
      <c r="C37" s="255">
        <v>10.0</v>
      </c>
      <c r="D37" s="255">
        <v>3.0</v>
      </c>
      <c r="E37" s="282" t="s">
        <v>19</v>
      </c>
      <c r="F37" s="50"/>
      <c r="G37" s="42" t="s">
        <v>19</v>
      </c>
    </row>
    <row r="38">
      <c r="A38" s="283" t="s">
        <v>16</v>
      </c>
      <c r="E38" s="11"/>
      <c r="F38" s="42"/>
      <c r="G38" s="42"/>
    </row>
    <row r="39">
      <c r="A39" s="284">
        <v>9.0</v>
      </c>
      <c r="B39" s="255" t="s">
        <v>69</v>
      </c>
      <c r="C39" s="255">
        <v>15.0</v>
      </c>
      <c r="D39" s="255">
        <v>3.0</v>
      </c>
      <c r="E39" s="282" t="s">
        <v>19</v>
      </c>
      <c r="F39" s="42"/>
      <c r="G39" s="42" t="s">
        <v>19</v>
      </c>
    </row>
    <row r="40">
      <c r="A40" s="283" t="s">
        <v>16</v>
      </c>
      <c r="E40" s="11"/>
      <c r="F40" s="42"/>
      <c r="G40" s="42"/>
    </row>
    <row r="41">
      <c r="A41" s="297">
        <v>11.0</v>
      </c>
      <c r="B41" s="298" t="s">
        <v>229</v>
      </c>
      <c r="C41" s="298">
        <v>4.0</v>
      </c>
      <c r="D41" s="298">
        <v>4.0</v>
      </c>
      <c r="E41" s="302" t="s">
        <v>73</v>
      </c>
      <c r="F41" s="34"/>
      <c r="G41" s="42"/>
    </row>
    <row r="42">
      <c r="A42" s="275" t="s">
        <v>233</v>
      </c>
      <c r="B42" s="13"/>
      <c r="C42" s="13"/>
      <c r="D42" s="13"/>
      <c r="E42" s="14"/>
      <c r="F42" s="34"/>
      <c r="G42" s="42"/>
    </row>
    <row r="43">
      <c r="A43" s="255"/>
      <c r="F43" s="34"/>
      <c r="G43" s="42"/>
    </row>
    <row r="44">
      <c r="A44" s="157" t="s">
        <v>209</v>
      </c>
      <c r="B44" s="132"/>
      <c r="C44" s="132"/>
      <c r="D44" s="132"/>
      <c r="E44" s="133"/>
      <c r="F44" s="34"/>
      <c r="G44" s="42"/>
    </row>
    <row r="45">
      <c r="A45" s="309">
        <v>16.0</v>
      </c>
      <c r="B45" s="270" t="s">
        <v>236</v>
      </c>
      <c r="C45" s="270">
        <v>1.0</v>
      </c>
      <c r="D45" s="270">
        <v>7.0</v>
      </c>
      <c r="E45" s="272" t="s">
        <v>26</v>
      </c>
      <c r="F45" s="34"/>
      <c r="G45" s="42"/>
    </row>
    <row r="46">
      <c r="A46" s="279" t="s">
        <v>211</v>
      </c>
      <c r="E46" s="11"/>
      <c r="F46" s="34"/>
      <c r="G46" s="42"/>
    </row>
    <row r="47">
      <c r="A47" s="297">
        <v>17.0</v>
      </c>
      <c r="B47" s="298" t="s">
        <v>237</v>
      </c>
      <c r="C47" s="298">
        <v>4.0</v>
      </c>
      <c r="D47" s="298">
        <v>2.0</v>
      </c>
      <c r="E47" s="302" t="s">
        <v>19</v>
      </c>
      <c r="F47" s="34"/>
      <c r="G47" s="42"/>
    </row>
    <row r="48">
      <c r="A48" s="279" t="s">
        <v>211</v>
      </c>
      <c r="E48" s="11"/>
      <c r="F48" s="34"/>
      <c r="G48" s="42"/>
    </row>
    <row r="49">
      <c r="A49" s="297">
        <v>18.0</v>
      </c>
      <c r="B49" s="298" t="s">
        <v>238</v>
      </c>
      <c r="C49" s="298">
        <v>4.0</v>
      </c>
      <c r="D49" s="298">
        <v>1.0</v>
      </c>
      <c r="E49" s="302" t="s">
        <v>19</v>
      </c>
      <c r="F49" s="34"/>
      <c r="G49" s="42"/>
    </row>
    <row r="50">
      <c r="A50" s="275" t="s">
        <v>211</v>
      </c>
      <c r="B50" s="13"/>
      <c r="C50" s="13"/>
      <c r="D50" s="13"/>
      <c r="E50" s="14"/>
      <c r="F50" s="34"/>
      <c r="G50" s="42"/>
    </row>
    <row r="51">
      <c r="A51" s="313"/>
      <c r="F51" s="34"/>
      <c r="G51" s="42"/>
    </row>
    <row r="52">
      <c r="A52" s="256" t="s">
        <v>242</v>
      </c>
      <c r="F52" s="34"/>
      <c r="G52" s="42"/>
    </row>
    <row r="53">
      <c r="A53" s="317">
        <v>1.0</v>
      </c>
      <c r="B53" s="293" t="s">
        <v>206</v>
      </c>
      <c r="C53" s="293">
        <v>6.0</v>
      </c>
      <c r="D53" s="293">
        <v>5.0</v>
      </c>
      <c r="E53" s="294" t="s">
        <v>19</v>
      </c>
      <c r="F53" s="34"/>
      <c r="G53" s="42" t="s">
        <v>19</v>
      </c>
    </row>
    <row r="54">
      <c r="A54" s="283" t="s">
        <v>143</v>
      </c>
      <c r="E54" s="11"/>
      <c r="F54" s="34"/>
      <c r="G54" s="42"/>
    </row>
    <row r="55">
      <c r="A55" s="321">
        <v>7.0</v>
      </c>
      <c r="B55" s="298" t="s">
        <v>246</v>
      </c>
      <c r="C55" s="298">
        <v>5.0</v>
      </c>
      <c r="D55" s="298">
        <v>4.0</v>
      </c>
      <c r="E55" s="302" t="s">
        <v>19</v>
      </c>
      <c r="F55" s="34"/>
      <c r="G55" s="42"/>
    </row>
    <row r="56">
      <c r="A56" s="279" t="s">
        <v>16</v>
      </c>
      <c r="E56" s="11"/>
      <c r="F56" s="34"/>
      <c r="G56" s="42"/>
    </row>
    <row r="57">
      <c r="A57" s="281">
        <v>8.0</v>
      </c>
      <c r="B57" s="255" t="s">
        <v>248</v>
      </c>
      <c r="C57" s="255">
        <v>15.0</v>
      </c>
      <c r="D57" s="255">
        <v>8.0</v>
      </c>
      <c r="E57" s="282" t="s">
        <v>19</v>
      </c>
      <c r="F57" s="34"/>
      <c r="G57" s="42" t="s">
        <v>19</v>
      </c>
    </row>
    <row r="58">
      <c r="A58" s="254" t="s">
        <v>16</v>
      </c>
      <c r="B58" s="13"/>
      <c r="C58" s="13"/>
      <c r="D58" s="13"/>
      <c r="E58" s="14"/>
      <c r="F58" s="34"/>
      <c r="G58" s="42"/>
    </row>
    <row r="59">
      <c r="A59" s="256" t="s">
        <v>252</v>
      </c>
      <c r="F59" s="34"/>
      <c r="G59" s="42"/>
    </row>
    <row r="60">
      <c r="A60" s="317">
        <v>26.0</v>
      </c>
      <c r="B60" s="293" t="s">
        <v>253</v>
      </c>
      <c r="C60" s="293">
        <v>10.0</v>
      </c>
      <c r="D60" s="293">
        <v>3.0</v>
      </c>
      <c r="E60" s="294" t="s">
        <v>19</v>
      </c>
      <c r="F60" s="34"/>
      <c r="G60" s="42" t="s">
        <v>19</v>
      </c>
    </row>
    <row r="61">
      <c r="A61" s="254" t="s">
        <v>254</v>
      </c>
      <c r="B61" s="13"/>
      <c r="C61" s="13"/>
      <c r="D61" s="13"/>
      <c r="E61" s="14"/>
      <c r="F61" s="34"/>
      <c r="G61" s="42"/>
    </row>
    <row r="62">
      <c r="A62" s="256" t="s">
        <v>256</v>
      </c>
      <c r="F62" s="42"/>
      <c r="G62" s="42"/>
    </row>
    <row r="63">
      <c r="A63" s="317">
        <v>1.0</v>
      </c>
      <c r="B63" s="293" t="s">
        <v>257</v>
      </c>
      <c r="C63" s="293">
        <v>13.0</v>
      </c>
      <c r="D63" s="293">
        <v>2.0</v>
      </c>
      <c r="E63" s="294" t="s">
        <v>19</v>
      </c>
      <c r="F63" s="42"/>
      <c r="G63" s="42" t="s">
        <v>19</v>
      </c>
    </row>
    <row r="64">
      <c r="A64" s="283" t="s">
        <v>16</v>
      </c>
      <c r="E64" s="11"/>
      <c r="F64" s="42"/>
      <c r="G64" s="42"/>
    </row>
    <row r="65">
      <c r="A65" s="281">
        <v>2.0</v>
      </c>
      <c r="B65" s="255" t="s">
        <v>258</v>
      </c>
      <c r="C65" s="255">
        <v>14.0</v>
      </c>
      <c r="D65" s="255">
        <v>2.0</v>
      </c>
      <c r="E65" s="282" t="s">
        <v>19</v>
      </c>
      <c r="F65" s="34"/>
      <c r="G65" s="42" t="s">
        <v>19</v>
      </c>
    </row>
    <row r="66">
      <c r="A66" s="283" t="s">
        <v>259</v>
      </c>
      <c r="E66" s="11"/>
      <c r="F66" s="34"/>
      <c r="G66" s="42"/>
    </row>
    <row r="67">
      <c r="A67" s="321">
        <v>8.0</v>
      </c>
      <c r="B67" s="298" t="s">
        <v>262</v>
      </c>
      <c r="C67" s="298">
        <v>3.0</v>
      </c>
      <c r="D67" s="298">
        <v>1.0</v>
      </c>
      <c r="E67" s="302" t="s">
        <v>19</v>
      </c>
      <c r="F67" s="34"/>
      <c r="G67" s="42"/>
    </row>
    <row r="68">
      <c r="A68" s="279" t="s">
        <v>16</v>
      </c>
      <c r="E68" s="11"/>
      <c r="F68" s="34"/>
      <c r="G68" s="42"/>
    </row>
    <row r="69">
      <c r="A69" s="321">
        <v>10.0</v>
      </c>
      <c r="B69" s="298" t="s">
        <v>236</v>
      </c>
      <c r="C69" s="298">
        <v>3.0</v>
      </c>
      <c r="D69" s="298">
        <v>4.0</v>
      </c>
      <c r="E69" s="302" t="s">
        <v>26</v>
      </c>
      <c r="F69" s="34"/>
      <c r="G69" s="42"/>
    </row>
    <row r="70">
      <c r="A70" s="279" t="s">
        <v>140</v>
      </c>
      <c r="E70" s="11"/>
      <c r="F70" s="34"/>
      <c r="G70" s="42"/>
    </row>
    <row r="71">
      <c r="A71" s="281">
        <v>16.0</v>
      </c>
      <c r="B71" s="255" t="s">
        <v>266</v>
      </c>
      <c r="C71" s="255">
        <v>10.0</v>
      </c>
      <c r="D71" s="255">
        <v>4.0</v>
      </c>
      <c r="E71" s="282" t="s">
        <v>19</v>
      </c>
      <c r="F71" s="34"/>
      <c r="G71" s="42" t="s">
        <v>19</v>
      </c>
    </row>
    <row r="72">
      <c r="A72" s="283" t="s">
        <v>267</v>
      </c>
      <c r="E72" s="11"/>
      <c r="F72" s="34"/>
      <c r="G72" s="42"/>
    </row>
    <row r="73">
      <c r="A73" s="281">
        <v>17.0</v>
      </c>
      <c r="B73" s="255" t="s">
        <v>270</v>
      </c>
      <c r="C73" s="255">
        <v>4.0</v>
      </c>
      <c r="D73" s="255">
        <v>1.0</v>
      </c>
      <c r="E73" s="282" t="s">
        <v>19</v>
      </c>
      <c r="F73" s="6"/>
      <c r="G73" s="116" t="s">
        <v>19</v>
      </c>
    </row>
    <row r="74">
      <c r="A74" s="254" t="s">
        <v>16</v>
      </c>
      <c r="B74" s="13"/>
      <c r="C74" s="13"/>
      <c r="D74" s="13"/>
      <c r="E74" s="14"/>
      <c r="F74" s="6"/>
      <c r="G74" s="116"/>
    </row>
    <row r="75">
      <c r="A75" s="339"/>
      <c r="F75" s="6"/>
      <c r="G75" s="6"/>
    </row>
    <row r="76">
      <c r="A76" s="250" t="s">
        <v>272</v>
      </c>
      <c r="F76" s="126"/>
      <c r="G76" s="34"/>
    </row>
    <row r="77">
      <c r="A77" s="341">
        <v>23.0</v>
      </c>
      <c r="B77" s="293" t="s">
        <v>275</v>
      </c>
      <c r="C77" s="293">
        <v>5.0</v>
      </c>
      <c r="D77" s="293">
        <v>2.0</v>
      </c>
      <c r="E77" s="294" t="s">
        <v>19</v>
      </c>
      <c r="F77" s="42"/>
      <c r="G77" s="42" t="s">
        <v>19</v>
      </c>
    </row>
    <row r="78">
      <c r="A78" s="283" t="s">
        <v>259</v>
      </c>
      <c r="E78" s="11"/>
      <c r="F78" s="116"/>
      <c r="G78" s="116"/>
    </row>
    <row r="79">
      <c r="A79" s="170">
        <v>24.0</v>
      </c>
      <c r="B79" s="255" t="s">
        <v>276</v>
      </c>
      <c r="C79" s="255">
        <v>4.0</v>
      </c>
      <c r="D79" s="255">
        <v>3.0</v>
      </c>
      <c r="E79" s="282" t="s">
        <v>19</v>
      </c>
      <c r="F79" s="116" t="s">
        <v>40</v>
      </c>
      <c r="G79" s="116" t="s">
        <v>19</v>
      </c>
    </row>
    <row r="80">
      <c r="A80" s="254" t="s">
        <v>259</v>
      </c>
      <c r="B80" s="13"/>
      <c r="C80" s="13"/>
      <c r="D80" s="13"/>
      <c r="E80" s="14"/>
      <c r="F80" s="116"/>
      <c r="G80" s="116"/>
    </row>
    <row r="81">
      <c r="A81" s="339"/>
      <c r="F81" s="19"/>
      <c r="G81" s="116"/>
    </row>
    <row r="82">
      <c r="A82" s="256" t="s">
        <v>280</v>
      </c>
      <c r="F82" s="19"/>
      <c r="G82" s="116"/>
    </row>
    <row r="83">
      <c r="A83" s="250" t="s">
        <v>281</v>
      </c>
      <c r="F83" s="19"/>
      <c r="G83" s="116"/>
    </row>
    <row r="84">
      <c r="A84" s="348">
        <v>9.0</v>
      </c>
      <c r="B84" s="293" t="s">
        <v>284</v>
      </c>
      <c r="C84" s="293">
        <v>6.0</v>
      </c>
      <c r="D84" s="293">
        <v>3.0</v>
      </c>
      <c r="E84" s="294" t="s">
        <v>19</v>
      </c>
      <c r="F84" s="19"/>
      <c r="G84" s="116"/>
    </row>
    <row r="85">
      <c r="A85" s="283" t="s">
        <v>286</v>
      </c>
      <c r="E85" s="11"/>
      <c r="F85" s="19"/>
      <c r="G85" s="116"/>
    </row>
    <row r="86">
      <c r="A86" s="350">
        <v>10.0</v>
      </c>
      <c r="B86" s="255" t="s">
        <v>288</v>
      </c>
      <c r="C86" s="255">
        <v>7.0</v>
      </c>
      <c r="D86" s="255">
        <v>1.0</v>
      </c>
      <c r="E86" s="282" t="s">
        <v>19</v>
      </c>
      <c r="F86" s="19"/>
      <c r="G86" s="116"/>
    </row>
    <row r="87">
      <c r="A87" s="254" t="s">
        <v>286</v>
      </c>
      <c r="B87" s="13"/>
      <c r="C87" s="13"/>
      <c r="D87" s="13"/>
      <c r="E87" s="14"/>
      <c r="F87" s="19"/>
      <c r="G87" s="116"/>
    </row>
    <row r="88">
      <c r="A88" s="352"/>
      <c r="F88" s="19"/>
      <c r="G88" s="116"/>
    </row>
    <row r="89">
      <c r="A89" s="250" t="s">
        <v>289</v>
      </c>
      <c r="F89" s="19"/>
      <c r="G89" s="116"/>
    </row>
    <row r="90">
      <c r="A90" s="348">
        <v>26.0</v>
      </c>
      <c r="B90" s="293" t="s">
        <v>290</v>
      </c>
      <c r="C90" s="293">
        <v>3.0</v>
      </c>
      <c r="D90" s="293">
        <v>2.0</v>
      </c>
      <c r="E90" s="294" t="s">
        <v>19</v>
      </c>
      <c r="F90" s="19"/>
      <c r="G90" s="116"/>
    </row>
    <row r="91">
      <c r="A91" s="283" t="s">
        <v>291</v>
      </c>
      <c r="E91" s="11"/>
      <c r="F91" s="19"/>
      <c r="G91" s="116"/>
    </row>
    <row r="92">
      <c r="A92" s="350">
        <v>27.0</v>
      </c>
      <c r="B92" s="255" t="s">
        <v>293</v>
      </c>
      <c r="C92" s="255">
        <v>1.0</v>
      </c>
      <c r="D92" s="255">
        <v>2.0</v>
      </c>
      <c r="E92" s="282" t="s">
        <v>26</v>
      </c>
      <c r="F92" s="19"/>
      <c r="G92" s="116"/>
    </row>
    <row r="93">
      <c r="A93" s="283" t="s">
        <v>291</v>
      </c>
      <c r="E93" s="11"/>
      <c r="F93" s="19"/>
      <c r="G93" s="116"/>
    </row>
    <row r="94">
      <c r="A94" s="350">
        <v>28.0</v>
      </c>
      <c r="B94" s="255" t="s">
        <v>296</v>
      </c>
      <c r="C94" s="255">
        <v>8.0</v>
      </c>
      <c r="D94" s="255">
        <v>4.0</v>
      </c>
      <c r="E94" s="282" t="s">
        <v>19</v>
      </c>
      <c r="F94" s="19"/>
      <c r="G94" s="116"/>
    </row>
    <row r="95">
      <c r="A95" s="254" t="s">
        <v>291</v>
      </c>
      <c r="B95" s="13"/>
      <c r="C95" s="13"/>
      <c r="D95" s="13"/>
      <c r="E95" s="14"/>
      <c r="F95" s="19"/>
      <c r="G95" s="116"/>
    </row>
    <row r="96">
      <c r="A96" s="352"/>
      <c r="F96" s="19"/>
      <c r="G96" s="116"/>
    </row>
    <row r="97">
      <c r="A97" s="355" t="s">
        <v>299</v>
      </c>
      <c r="C97" s="151">
        <f t="shared" ref="C97:D97" si="1">SUM(C11:C96)</f>
        <v>217</v>
      </c>
      <c r="D97" s="151">
        <f t="shared" si="1"/>
        <v>95</v>
      </c>
      <c r="E97" s="359"/>
      <c r="F97" s="6"/>
      <c r="G97" s="6"/>
    </row>
    <row r="98">
      <c r="A98" s="361" t="s">
        <v>112</v>
      </c>
      <c r="C98" s="364" t="s">
        <v>116</v>
      </c>
      <c r="F98" s="154"/>
      <c r="G98" s="6"/>
    </row>
  </sheetData>
  <mergeCells count="65">
    <mergeCell ref="A78:E78"/>
    <mergeCell ref="A80:E80"/>
    <mergeCell ref="A81:E81"/>
    <mergeCell ref="A82:E82"/>
    <mergeCell ref="A83:E83"/>
    <mergeCell ref="A85:E85"/>
    <mergeCell ref="A87:E87"/>
    <mergeCell ref="A98:B98"/>
    <mergeCell ref="C98:E98"/>
    <mergeCell ref="A88:E88"/>
    <mergeCell ref="A89:E89"/>
    <mergeCell ref="A91:E91"/>
    <mergeCell ref="A93:E93"/>
    <mergeCell ref="A95:E95"/>
    <mergeCell ref="A96:E96"/>
    <mergeCell ref="A97:B97"/>
    <mergeCell ref="A1:B1"/>
    <mergeCell ref="C1:E1"/>
    <mergeCell ref="A2:B2"/>
    <mergeCell ref="C2:E2"/>
    <mergeCell ref="A3:E3"/>
    <mergeCell ref="A5:E6"/>
    <mergeCell ref="A7:B7"/>
    <mergeCell ref="A8:E8"/>
    <mergeCell ref="A9:E9"/>
    <mergeCell ref="A10:E10"/>
    <mergeCell ref="A11:E11"/>
    <mergeCell ref="A13:E13"/>
    <mergeCell ref="A15:E15"/>
    <mergeCell ref="A17:E17"/>
    <mergeCell ref="A19:E19"/>
    <mergeCell ref="A20:E20"/>
    <mergeCell ref="A22:E22"/>
    <mergeCell ref="A23:E23"/>
    <mergeCell ref="A25:E25"/>
    <mergeCell ref="A27:E27"/>
    <mergeCell ref="A29:E29"/>
    <mergeCell ref="A31:E31"/>
    <mergeCell ref="A33:E33"/>
    <mergeCell ref="A34:E34"/>
    <mergeCell ref="A36:E36"/>
    <mergeCell ref="A38:E38"/>
    <mergeCell ref="A40:E40"/>
    <mergeCell ref="A42:E42"/>
    <mergeCell ref="A43:E43"/>
    <mergeCell ref="A44:E44"/>
    <mergeCell ref="A46:E46"/>
    <mergeCell ref="A48:E48"/>
    <mergeCell ref="A50:E50"/>
    <mergeCell ref="A51:E51"/>
    <mergeCell ref="A52:E52"/>
    <mergeCell ref="A54:E54"/>
    <mergeCell ref="A56:E56"/>
    <mergeCell ref="A58:E58"/>
    <mergeCell ref="A59:E59"/>
    <mergeCell ref="A61:E61"/>
    <mergeCell ref="A62:E62"/>
    <mergeCell ref="A64:E64"/>
    <mergeCell ref="A66:E66"/>
    <mergeCell ref="A68:E68"/>
    <mergeCell ref="A70:E70"/>
    <mergeCell ref="A72:E72"/>
    <mergeCell ref="A74:E74"/>
    <mergeCell ref="A75:E75"/>
    <mergeCell ref="A76:E7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.5"/>
    <col customWidth="1" min="2" max="2" width="2.75"/>
    <col customWidth="1" min="3" max="3" width="27.63"/>
    <col customWidth="1" min="4" max="4" width="39.0"/>
    <col customWidth="1" min="5" max="5" width="6.0"/>
    <col customWidth="1" min="6" max="6" width="3.5"/>
    <col customWidth="1" min="7" max="7" width="8.13"/>
    <col customWidth="1" min="8" max="8" width="6.25"/>
    <col customWidth="1" min="9" max="9" width="6.63"/>
  </cols>
  <sheetData>
    <row r="1">
      <c r="A1" s="264"/>
      <c r="B1" s="265"/>
      <c r="C1" s="266" t="s">
        <v>0</v>
      </c>
      <c r="D1" s="4" t="str">
        <f>COUNTIF(G8:G47,"W")&amp;"-"&amp;COUNTIF(G8:G47,"L")&amp;"-"&amp;COUNTIF(G8:G47,"T")&amp;"-"&amp;COUNTIF(G8:G47,"OTL")</f>
        <v>25-4-0-1</v>
      </c>
      <c r="E1" s="271"/>
      <c r="F1" s="271"/>
      <c r="G1" s="273"/>
      <c r="H1" s="274"/>
      <c r="I1" s="7"/>
    </row>
    <row r="2">
      <c r="A2" s="277"/>
      <c r="B2" s="280"/>
      <c r="C2" s="242" t="s">
        <v>1</v>
      </c>
      <c r="D2" s="10" t="str">
        <f>COUNTIF(I8:I47,"W")&amp;"-"&amp;COUNTIF(I8:I47,"L")&amp;"-"&amp;COUNTIF(I8:I47,"T")&amp;"-"&amp;COUNTIF(I8:I47,"OTL")</f>
        <v>17-0-0-1</v>
      </c>
      <c r="E2" s="286"/>
      <c r="F2" s="286"/>
      <c r="G2" s="287"/>
      <c r="H2" s="274"/>
      <c r="I2" s="6"/>
    </row>
    <row r="3">
      <c r="A3" s="288"/>
      <c r="B3" s="289"/>
      <c r="C3" s="290"/>
      <c r="D3" s="291" t="s">
        <v>2</v>
      </c>
      <c r="E3" s="295"/>
      <c r="F3" s="295"/>
      <c r="G3" s="296"/>
      <c r="H3" s="274"/>
      <c r="I3" s="6"/>
    </row>
    <row r="4">
      <c r="A4" s="299"/>
      <c r="B4" s="300"/>
      <c r="C4" s="301"/>
      <c r="D4" s="303"/>
      <c r="E4" s="304"/>
      <c r="F4" s="304"/>
      <c r="G4" s="305"/>
      <c r="H4" s="306" t="s">
        <v>3</v>
      </c>
      <c r="I4" s="20" t="s">
        <v>4</v>
      </c>
    </row>
    <row r="5">
      <c r="A5" s="307" t="s">
        <v>235</v>
      </c>
      <c r="B5" s="3"/>
      <c r="C5" s="3"/>
      <c r="D5" s="3"/>
      <c r="E5" s="3"/>
      <c r="F5" s="3"/>
      <c r="G5" s="5"/>
      <c r="H5" s="308"/>
      <c r="I5" s="6"/>
    </row>
    <row r="6">
      <c r="A6" s="310"/>
      <c r="B6" s="13"/>
      <c r="C6" s="13"/>
      <c r="D6" s="13"/>
      <c r="E6" s="13"/>
      <c r="F6" s="13"/>
      <c r="G6" s="14"/>
      <c r="H6" s="308"/>
      <c r="I6" s="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274"/>
      <c r="I7" s="6"/>
    </row>
    <row r="8">
      <c r="A8" s="318" t="s">
        <v>178</v>
      </c>
      <c r="B8" s="132"/>
      <c r="C8" s="132"/>
      <c r="D8" s="132"/>
      <c r="E8" s="132"/>
      <c r="F8" s="132"/>
      <c r="G8" s="133"/>
      <c r="H8" s="319"/>
      <c r="I8" s="34"/>
    </row>
    <row r="9">
      <c r="A9" s="320" t="s">
        <v>245</v>
      </c>
      <c r="B9" s="322">
        <v>15.0</v>
      </c>
      <c r="C9" s="258" t="s">
        <v>247</v>
      </c>
      <c r="D9" s="323" t="s">
        <v>121</v>
      </c>
      <c r="E9" s="258">
        <v>8.0</v>
      </c>
      <c r="F9" s="258">
        <v>5.0</v>
      </c>
      <c r="G9" s="259" t="s">
        <v>19</v>
      </c>
      <c r="H9" s="274"/>
      <c r="I9" s="6"/>
    </row>
    <row r="10">
      <c r="A10" s="324" t="s">
        <v>245</v>
      </c>
      <c r="B10" s="325">
        <v>16.0</v>
      </c>
      <c r="C10" s="262" t="s">
        <v>250</v>
      </c>
      <c r="D10" s="326" t="s">
        <v>121</v>
      </c>
      <c r="E10" s="262">
        <v>15.0</v>
      </c>
      <c r="F10" s="262">
        <v>0.0</v>
      </c>
      <c r="G10" s="263" t="s">
        <v>19</v>
      </c>
      <c r="H10" s="319"/>
      <c r="I10" s="34"/>
    </row>
    <row r="11">
      <c r="A11" s="324" t="s">
        <v>245</v>
      </c>
      <c r="B11" s="325">
        <v>16.0</v>
      </c>
      <c r="C11" s="262" t="s">
        <v>189</v>
      </c>
      <c r="D11" s="326" t="s">
        <v>121</v>
      </c>
      <c r="E11" s="262">
        <v>12.0</v>
      </c>
      <c r="F11" s="262">
        <v>1.0</v>
      </c>
      <c r="G11" s="263" t="s">
        <v>19</v>
      </c>
      <c r="H11" s="319"/>
      <c r="I11" s="34"/>
    </row>
    <row r="12">
      <c r="A12" s="327" t="s">
        <v>245</v>
      </c>
      <c r="B12" s="328">
        <v>17.0</v>
      </c>
      <c r="C12" s="329" t="s">
        <v>255</v>
      </c>
      <c r="D12" s="330" t="s">
        <v>121</v>
      </c>
      <c r="E12" s="329">
        <v>8.0</v>
      </c>
      <c r="F12" s="329">
        <v>0.0</v>
      </c>
      <c r="G12" s="331" t="s">
        <v>19</v>
      </c>
      <c r="H12" s="319"/>
      <c r="I12" s="34"/>
    </row>
    <row r="13">
      <c r="A13" s="332"/>
      <c r="B13" s="132"/>
      <c r="C13" s="132"/>
      <c r="D13" s="132"/>
      <c r="E13" s="132"/>
      <c r="F13" s="132"/>
      <c r="G13" s="133"/>
      <c r="H13" s="319"/>
      <c r="I13" s="34"/>
    </row>
    <row r="14">
      <c r="A14" s="185" t="s">
        <v>13</v>
      </c>
      <c r="B14" s="333">
        <v>29.0</v>
      </c>
      <c r="C14" s="255" t="s">
        <v>163</v>
      </c>
      <c r="D14" s="235" t="s">
        <v>87</v>
      </c>
      <c r="E14" s="255">
        <v>4.0</v>
      </c>
      <c r="F14" s="255">
        <v>3.0</v>
      </c>
      <c r="G14" s="282" t="s">
        <v>19</v>
      </c>
      <c r="H14" s="319"/>
      <c r="I14" s="42" t="s">
        <v>19</v>
      </c>
    </row>
    <row r="15">
      <c r="A15" s="334" t="s">
        <v>263</v>
      </c>
      <c r="B15" s="335">
        <v>1.0</v>
      </c>
      <c r="C15" s="298" t="s">
        <v>264</v>
      </c>
      <c r="D15" s="336" t="s">
        <v>16</v>
      </c>
      <c r="E15" s="298">
        <v>1.0</v>
      </c>
      <c r="F15" s="298">
        <v>5.0</v>
      </c>
      <c r="G15" s="302" t="s">
        <v>19</v>
      </c>
      <c r="H15" s="52" t="s">
        <v>265</v>
      </c>
      <c r="I15" s="42"/>
    </row>
    <row r="16">
      <c r="A16" s="185" t="s">
        <v>17</v>
      </c>
      <c r="B16" s="333">
        <v>7.0</v>
      </c>
      <c r="C16" s="255" t="s">
        <v>248</v>
      </c>
      <c r="D16" s="235" t="s">
        <v>16</v>
      </c>
      <c r="E16" s="255">
        <v>19.0</v>
      </c>
      <c r="F16" s="255">
        <v>2.0</v>
      </c>
      <c r="G16" s="282" t="s">
        <v>19</v>
      </c>
      <c r="H16" s="319"/>
      <c r="I16" s="42" t="s">
        <v>19</v>
      </c>
    </row>
    <row r="17">
      <c r="A17" s="185" t="s">
        <v>17</v>
      </c>
      <c r="B17" s="337">
        <v>8.0</v>
      </c>
      <c r="C17" s="255" t="s">
        <v>67</v>
      </c>
      <c r="D17" s="235" t="s">
        <v>16</v>
      </c>
      <c r="E17" s="255">
        <v>6.0</v>
      </c>
      <c r="F17" s="255">
        <v>2.0</v>
      </c>
      <c r="G17" s="282" t="s">
        <v>19</v>
      </c>
      <c r="H17" s="319"/>
      <c r="I17" s="42" t="s">
        <v>19</v>
      </c>
    </row>
    <row r="18">
      <c r="A18" s="185" t="s">
        <v>17</v>
      </c>
      <c r="B18" s="337">
        <v>13.0</v>
      </c>
      <c r="C18" s="255" t="s">
        <v>206</v>
      </c>
      <c r="D18" s="235" t="s">
        <v>143</v>
      </c>
      <c r="E18" s="255">
        <v>7.0</v>
      </c>
      <c r="F18" s="255">
        <v>1.0</v>
      </c>
      <c r="G18" s="282" t="s">
        <v>19</v>
      </c>
      <c r="H18" s="319"/>
      <c r="I18" s="42" t="s">
        <v>19</v>
      </c>
    </row>
    <row r="19">
      <c r="A19" s="185" t="s">
        <v>17</v>
      </c>
      <c r="B19" s="337">
        <v>15.0</v>
      </c>
      <c r="C19" s="255" t="s">
        <v>69</v>
      </c>
      <c r="D19" s="235" t="s">
        <v>16</v>
      </c>
      <c r="E19" s="255">
        <v>13.0</v>
      </c>
      <c r="F19" s="255">
        <v>1.0</v>
      </c>
      <c r="G19" s="282" t="s">
        <v>19</v>
      </c>
      <c r="H19" s="338"/>
      <c r="I19" s="42" t="s">
        <v>19</v>
      </c>
    </row>
    <row r="20">
      <c r="A20" s="185" t="s">
        <v>17</v>
      </c>
      <c r="B20" s="337">
        <v>22.0</v>
      </c>
      <c r="C20" s="255" t="s">
        <v>227</v>
      </c>
      <c r="D20" s="235" t="s">
        <v>16</v>
      </c>
      <c r="E20" s="255">
        <v>6.0</v>
      </c>
      <c r="F20" s="255">
        <v>4.0</v>
      </c>
      <c r="G20" s="282" t="s">
        <v>19</v>
      </c>
      <c r="H20" s="52"/>
      <c r="I20" s="42" t="s">
        <v>19</v>
      </c>
    </row>
    <row r="21">
      <c r="A21" s="334" t="s">
        <v>263</v>
      </c>
      <c r="B21" s="340">
        <v>29.0</v>
      </c>
      <c r="C21" s="298" t="s">
        <v>75</v>
      </c>
      <c r="D21" s="336" t="s">
        <v>16</v>
      </c>
      <c r="E21" s="298">
        <v>0.0</v>
      </c>
      <c r="F21" s="298">
        <v>6.0</v>
      </c>
      <c r="G21" s="302" t="s">
        <v>26</v>
      </c>
      <c r="H21" s="338"/>
      <c r="I21" s="42"/>
    </row>
    <row r="22">
      <c r="A22" s="185" t="s">
        <v>34</v>
      </c>
      <c r="B22" s="337">
        <v>3.0</v>
      </c>
      <c r="C22" s="255" t="s">
        <v>274</v>
      </c>
      <c r="D22" s="235" t="s">
        <v>87</v>
      </c>
      <c r="E22" s="255">
        <v>6.0</v>
      </c>
      <c r="F22" s="255">
        <v>1.0</v>
      </c>
      <c r="G22" s="282" t="s">
        <v>19</v>
      </c>
      <c r="H22" s="52"/>
      <c r="I22" s="42" t="s">
        <v>19</v>
      </c>
    </row>
    <row r="23">
      <c r="A23" s="185" t="s">
        <v>34</v>
      </c>
      <c r="B23" s="337">
        <v>10.0</v>
      </c>
      <c r="C23" s="255" t="s">
        <v>270</v>
      </c>
      <c r="D23" s="235" t="s">
        <v>16</v>
      </c>
      <c r="E23" s="255">
        <v>5.0</v>
      </c>
      <c r="F23" s="255">
        <v>0.0</v>
      </c>
      <c r="G23" s="282" t="s">
        <v>19</v>
      </c>
      <c r="H23" s="319"/>
      <c r="I23" s="42" t="s">
        <v>19</v>
      </c>
    </row>
    <row r="24">
      <c r="A24" s="185" t="s">
        <v>34</v>
      </c>
      <c r="B24" s="337">
        <v>11.0</v>
      </c>
      <c r="C24" s="255" t="s">
        <v>266</v>
      </c>
      <c r="D24" s="235" t="s">
        <v>267</v>
      </c>
      <c r="E24" s="255">
        <v>14.0</v>
      </c>
      <c r="F24" s="255">
        <v>0.0</v>
      </c>
      <c r="G24" s="282" t="s">
        <v>19</v>
      </c>
      <c r="H24" s="319"/>
      <c r="I24" s="42" t="s">
        <v>19</v>
      </c>
    </row>
    <row r="25">
      <c r="A25" s="342"/>
      <c r="H25" s="319"/>
      <c r="I25" s="42"/>
    </row>
    <row r="26">
      <c r="A26" s="342" t="s">
        <v>209</v>
      </c>
      <c r="H26" s="319"/>
      <c r="I26" s="42"/>
    </row>
    <row r="27">
      <c r="A27" s="343" t="s">
        <v>277</v>
      </c>
      <c r="B27" s="344">
        <v>17.0</v>
      </c>
      <c r="C27" s="270" t="s">
        <v>186</v>
      </c>
      <c r="D27" s="345" t="s">
        <v>278</v>
      </c>
      <c r="E27" s="270">
        <v>1.0</v>
      </c>
      <c r="F27" s="270">
        <v>4.0</v>
      </c>
      <c r="G27" s="272" t="s">
        <v>26</v>
      </c>
      <c r="H27" s="319"/>
      <c r="I27" s="42"/>
    </row>
    <row r="28">
      <c r="A28" s="334" t="s">
        <v>277</v>
      </c>
      <c r="B28" s="340">
        <v>18.0</v>
      </c>
      <c r="C28" s="298" t="s">
        <v>279</v>
      </c>
      <c r="D28" s="336" t="s">
        <v>278</v>
      </c>
      <c r="E28" s="298">
        <v>4.0</v>
      </c>
      <c r="F28" s="298">
        <v>3.0</v>
      </c>
      <c r="G28" s="302" t="s">
        <v>19</v>
      </c>
      <c r="H28" s="319"/>
      <c r="I28" s="42"/>
    </row>
    <row r="29">
      <c r="A29" s="346" t="s">
        <v>277</v>
      </c>
      <c r="B29" s="347">
        <v>19.0</v>
      </c>
      <c r="C29" s="349" t="s">
        <v>283</v>
      </c>
      <c r="D29" s="351" t="s">
        <v>278</v>
      </c>
      <c r="E29" s="349">
        <v>8.0</v>
      </c>
      <c r="F29" s="349">
        <v>3.0</v>
      </c>
      <c r="G29" s="353" t="s">
        <v>19</v>
      </c>
      <c r="H29" s="319"/>
      <c r="I29" s="42"/>
    </row>
    <row r="30">
      <c r="A30" s="185"/>
      <c r="H30" s="319"/>
      <c r="I30" s="42"/>
    </row>
    <row r="31">
      <c r="A31" s="185" t="s">
        <v>61</v>
      </c>
      <c r="B31" s="333">
        <v>2.0</v>
      </c>
      <c r="C31" s="255" t="s">
        <v>15</v>
      </c>
      <c r="D31" s="235" t="s">
        <v>16</v>
      </c>
      <c r="E31" s="255">
        <v>6.0</v>
      </c>
      <c r="F31" s="255">
        <v>2.0</v>
      </c>
      <c r="G31" s="282" t="s">
        <v>19</v>
      </c>
      <c r="H31" s="319"/>
      <c r="I31" s="42" t="s">
        <v>19</v>
      </c>
    </row>
    <row r="32">
      <c r="A32" s="185" t="s">
        <v>61</v>
      </c>
      <c r="B32" s="333">
        <v>8.0</v>
      </c>
      <c r="C32" s="255" t="s">
        <v>294</v>
      </c>
      <c r="D32" s="235" t="s">
        <v>16</v>
      </c>
      <c r="E32" s="255">
        <v>10.0</v>
      </c>
      <c r="F32" s="255">
        <v>2.0</v>
      </c>
      <c r="G32" s="282" t="s">
        <v>19</v>
      </c>
      <c r="H32" s="319"/>
      <c r="I32" s="42" t="s">
        <v>19</v>
      </c>
    </row>
    <row r="33">
      <c r="A33" s="185" t="s">
        <v>68</v>
      </c>
      <c r="B33" s="333">
        <v>21.0</v>
      </c>
      <c r="C33" s="255" t="s">
        <v>253</v>
      </c>
      <c r="D33" s="235" t="s">
        <v>254</v>
      </c>
      <c r="E33" s="255">
        <v>11.0</v>
      </c>
      <c r="F33" s="255">
        <v>1.0</v>
      </c>
      <c r="G33" s="282" t="s">
        <v>19</v>
      </c>
      <c r="H33" s="319"/>
      <c r="I33" s="42" t="s">
        <v>19</v>
      </c>
    </row>
    <row r="34">
      <c r="A34" s="334" t="s">
        <v>298</v>
      </c>
      <c r="B34" s="335">
        <v>28.0</v>
      </c>
      <c r="C34" s="298" t="s">
        <v>186</v>
      </c>
      <c r="D34" s="336" t="s">
        <v>233</v>
      </c>
      <c r="E34" s="298">
        <v>2.0</v>
      </c>
      <c r="F34" s="298">
        <v>4.0</v>
      </c>
      <c r="G34" s="302" t="s">
        <v>26</v>
      </c>
      <c r="H34" s="52"/>
      <c r="I34" s="42"/>
    </row>
    <row r="35">
      <c r="A35" s="185" t="s">
        <v>74</v>
      </c>
      <c r="B35" s="333">
        <v>1.0</v>
      </c>
      <c r="C35" s="255" t="s">
        <v>257</v>
      </c>
      <c r="D35" s="235" t="s">
        <v>16</v>
      </c>
      <c r="E35" s="255">
        <v>6.0</v>
      </c>
      <c r="F35" s="255">
        <v>3.0</v>
      </c>
      <c r="G35" s="282" t="s">
        <v>19</v>
      </c>
      <c r="H35" s="319"/>
      <c r="I35" s="42" t="s">
        <v>19</v>
      </c>
    </row>
    <row r="36">
      <c r="A36" s="185" t="s">
        <v>74</v>
      </c>
      <c r="B36" s="333">
        <v>3.0</v>
      </c>
      <c r="C36" s="255" t="s">
        <v>258</v>
      </c>
      <c r="D36" s="235" t="s">
        <v>259</v>
      </c>
      <c r="E36" s="255">
        <v>6.0</v>
      </c>
      <c r="F36" s="255">
        <v>5.0</v>
      </c>
      <c r="G36" s="282" t="s">
        <v>19</v>
      </c>
      <c r="H36" s="52" t="s">
        <v>302</v>
      </c>
      <c r="I36" s="42" t="s">
        <v>19</v>
      </c>
    </row>
    <row r="37">
      <c r="A37" s="185" t="s">
        <v>74</v>
      </c>
      <c r="B37" s="333">
        <v>9.0</v>
      </c>
      <c r="C37" s="255" t="s">
        <v>100</v>
      </c>
      <c r="D37" s="235" t="s">
        <v>16</v>
      </c>
      <c r="E37" s="255">
        <v>2.0</v>
      </c>
      <c r="F37" s="255">
        <v>3.0</v>
      </c>
      <c r="G37" s="282" t="s">
        <v>48</v>
      </c>
      <c r="H37" s="319"/>
      <c r="I37" s="42" t="s">
        <v>48</v>
      </c>
    </row>
    <row r="38">
      <c r="A38" s="357" t="s">
        <v>74</v>
      </c>
      <c r="B38" s="358">
        <v>10.0</v>
      </c>
      <c r="C38" s="360" t="s">
        <v>225</v>
      </c>
      <c r="D38" s="362" t="s">
        <v>303</v>
      </c>
      <c r="E38" s="360">
        <v>7.0</v>
      </c>
      <c r="F38" s="360">
        <v>3.0</v>
      </c>
      <c r="G38" s="363" t="s">
        <v>19</v>
      </c>
      <c r="H38" s="319"/>
      <c r="I38" s="42" t="s">
        <v>19</v>
      </c>
    </row>
    <row r="39">
      <c r="A39" s="365"/>
      <c r="B39" s="3"/>
      <c r="C39" s="3"/>
      <c r="D39" s="3"/>
      <c r="E39" s="3"/>
      <c r="F39" s="3"/>
      <c r="G39" s="3"/>
      <c r="H39" s="274"/>
      <c r="I39" s="6"/>
    </row>
    <row r="40">
      <c r="A40" s="366" t="s">
        <v>305</v>
      </c>
      <c r="B40" s="13"/>
      <c r="C40" s="13"/>
      <c r="D40" s="13"/>
      <c r="E40" s="13"/>
      <c r="F40" s="13"/>
      <c r="G40" s="14"/>
      <c r="H40" s="368"/>
      <c r="I40" s="34"/>
    </row>
    <row r="41">
      <c r="A41" s="168" t="s">
        <v>74</v>
      </c>
      <c r="B41" s="370">
        <v>17.0</v>
      </c>
      <c r="C41" s="293" t="s">
        <v>307</v>
      </c>
      <c r="D41" s="370" t="s">
        <v>259</v>
      </c>
      <c r="E41" s="293">
        <v>3.0</v>
      </c>
      <c r="F41" s="293">
        <v>0.0</v>
      </c>
      <c r="G41" s="294" t="s">
        <v>19</v>
      </c>
      <c r="H41" s="52"/>
      <c r="I41" s="42" t="s">
        <v>19</v>
      </c>
    </row>
    <row r="42">
      <c r="A42" s="372" t="s">
        <v>74</v>
      </c>
      <c r="B42" s="362">
        <v>18.0</v>
      </c>
      <c r="C42" s="360" t="s">
        <v>309</v>
      </c>
      <c r="D42" s="362" t="s">
        <v>259</v>
      </c>
      <c r="E42" s="360">
        <v>4.0</v>
      </c>
      <c r="F42" s="360">
        <v>1.0</v>
      </c>
      <c r="G42" s="363" t="s">
        <v>19</v>
      </c>
      <c r="H42" s="306"/>
      <c r="I42" s="116" t="s">
        <v>19</v>
      </c>
    </row>
    <row r="43">
      <c r="A43" s="350"/>
      <c r="H43" s="306"/>
      <c r="I43" s="116"/>
    </row>
    <row r="44">
      <c r="A44" s="373" t="s">
        <v>311</v>
      </c>
      <c r="G44" s="11"/>
      <c r="H44" s="306"/>
      <c r="I44" s="116"/>
    </row>
    <row r="45">
      <c r="A45" s="348" t="s">
        <v>74</v>
      </c>
      <c r="B45" s="370">
        <v>23.0</v>
      </c>
      <c r="C45" s="293" t="s">
        <v>313</v>
      </c>
      <c r="D45" s="370" t="s">
        <v>121</v>
      </c>
      <c r="E45" s="293">
        <v>4.0</v>
      </c>
      <c r="F45" s="293">
        <v>1.0</v>
      </c>
      <c r="G45" s="294" t="s">
        <v>19</v>
      </c>
      <c r="H45" s="19"/>
      <c r="I45" s="116"/>
    </row>
    <row r="46">
      <c r="A46" s="372" t="s">
        <v>74</v>
      </c>
      <c r="B46" s="376">
        <v>24.0</v>
      </c>
      <c r="C46" s="360" t="s">
        <v>316</v>
      </c>
      <c r="D46" s="362" t="s">
        <v>121</v>
      </c>
      <c r="E46" s="360">
        <v>2.0</v>
      </c>
      <c r="F46" s="360">
        <v>3.0</v>
      </c>
      <c r="G46" s="363" t="s">
        <v>26</v>
      </c>
      <c r="H46" s="19"/>
      <c r="I46" s="116"/>
    </row>
    <row r="47">
      <c r="A47" s="372"/>
      <c r="B47" s="13"/>
      <c r="C47" s="13"/>
      <c r="D47" s="13"/>
      <c r="E47" s="13"/>
      <c r="F47" s="13"/>
      <c r="G47" s="13"/>
      <c r="H47" s="306"/>
      <c r="I47" s="116"/>
    </row>
    <row r="48">
      <c r="A48" s="374" t="s">
        <v>312</v>
      </c>
      <c r="B48" s="132"/>
      <c r="C48" s="132"/>
      <c r="D48" s="375" t="s">
        <v>314</v>
      </c>
      <c r="E48" s="377">
        <f t="shared" ref="E48:F48" si="1">SUM(E8:E47)</f>
        <v>200</v>
      </c>
      <c r="F48" s="377">
        <f t="shared" si="1"/>
        <v>69</v>
      </c>
      <c r="G48" s="378"/>
      <c r="H48" s="274"/>
      <c r="I48" s="6"/>
    </row>
  </sheetData>
  <mergeCells count="12">
    <mergeCell ref="A40:G40"/>
    <mergeCell ref="A43:G43"/>
    <mergeCell ref="A44:G44"/>
    <mergeCell ref="A47:G47"/>
    <mergeCell ref="A48:C48"/>
    <mergeCell ref="A5:G6"/>
    <mergeCell ref="A8:G8"/>
    <mergeCell ref="A13:G13"/>
    <mergeCell ref="A25:G25"/>
    <mergeCell ref="A26:G26"/>
    <mergeCell ref="A30:G30"/>
    <mergeCell ref="A39:G3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.5"/>
    <col customWidth="1" min="2" max="2" width="2.75"/>
    <col customWidth="1" min="3" max="3" width="27.63"/>
    <col customWidth="1" min="4" max="4" width="39.0"/>
    <col customWidth="1" min="5" max="5" width="6.0"/>
    <col customWidth="1" min="6" max="6" width="3.5"/>
    <col customWidth="1" min="7" max="7" width="8.13"/>
    <col customWidth="1" min="8" max="8" width="5.5"/>
    <col customWidth="1" min="9" max="9" width="6.63"/>
  </cols>
  <sheetData>
    <row r="1">
      <c r="A1" s="264"/>
      <c r="B1" s="265"/>
      <c r="C1" s="266" t="s">
        <v>0</v>
      </c>
      <c r="D1" s="4" t="str">
        <f>COUNTIF(G8:G36,"W")&amp;"-"&amp;COUNTIF(G8:G36,"L")&amp;"-"&amp;COUNTIF(G8:G36,"T")&amp;"-"&amp;COUNTIF(G8:G36,"OTL")</f>
        <v>18-6-0-1</v>
      </c>
      <c r="E1" s="271"/>
      <c r="F1" s="271"/>
      <c r="G1" s="273"/>
      <c r="H1" s="274"/>
      <c r="I1" s="7"/>
    </row>
    <row r="2">
      <c r="A2" s="277"/>
      <c r="B2" s="280"/>
      <c r="C2" s="242" t="s">
        <v>1</v>
      </c>
      <c r="D2" s="10" t="str">
        <f>COUNTIF(I8:I36,"W")&amp;"-"&amp;COUNTIF(I8:I36,"L")&amp;"-"&amp;COUNTIF(I8:I36,"T")&amp;"-"&amp;COUNTIF(I8:I36,"OTL")</f>
        <v>13-1-0-1</v>
      </c>
      <c r="E2" s="286"/>
      <c r="F2" s="286"/>
      <c r="G2" s="287"/>
      <c r="H2" s="274"/>
      <c r="I2" s="6"/>
    </row>
    <row r="3">
      <c r="A3" s="288"/>
      <c r="B3" s="289"/>
      <c r="C3" s="290"/>
      <c r="D3" s="291" t="s">
        <v>2</v>
      </c>
      <c r="E3" s="295"/>
      <c r="F3" s="295"/>
      <c r="G3" s="296"/>
      <c r="H3" s="274"/>
      <c r="I3" s="6"/>
    </row>
    <row r="4">
      <c r="A4" s="299"/>
      <c r="B4" s="300"/>
      <c r="C4" s="301"/>
      <c r="D4" s="303"/>
      <c r="E4" s="304"/>
      <c r="F4" s="304"/>
      <c r="G4" s="305"/>
      <c r="H4" s="306" t="s">
        <v>3</v>
      </c>
      <c r="I4" s="20" t="s">
        <v>4</v>
      </c>
    </row>
    <row r="5">
      <c r="A5" s="307" t="s">
        <v>273</v>
      </c>
      <c r="B5" s="3"/>
      <c r="C5" s="3"/>
      <c r="D5" s="3"/>
      <c r="E5" s="3"/>
      <c r="F5" s="3"/>
      <c r="G5" s="5"/>
      <c r="H5" s="308"/>
      <c r="I5" s="6"/>
    </row>
    <row r="6">
      <c r="A6" s="310"/>
      <c r="B6" s="13"/>
      <c r="C6" s="13"/>
      <c r="D6" s="13"/>
      <c r="E6" s="13"/>
      <c r="F6" s="13"/>
      <c r="G6" s="14"/>
      <c r="H6" s="308"/>
      <c r="I6" s="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274"/>
      <c r="I7" s="6"/>
    </row>
    <row r="8">
      <c r="A8" s="318" t="s">
        <v>178</v>
      </c>
      <c r="B8" s="132"/>
      <c r="C8" s="132"/>
      <c r="D8" s="132"/>
      <c r="E8" s="132"/>
      <c r="F8" s="132"/>
      <c r="G8" s="133"/>
      <c r="H8" s="319"/>
      <c r="I8" s="34"/>
    </row>
    <row r="9">
      <c r="A9" s="320" t="s">
        <v>245</v>
      </c>
      <c r="B9" s="322">
        <v>16.0</v>
      </c>
      <c r="C9" s="258" t="s">
        <v>282</v>
      </c>
      <c r="D9" s="323" t="s">
        <v>121</v>
      </c>
      <c r="E9" s="258">
        <v>1.0</v>
      </c>
      <c r="F9" s="258">
        <v>6.0</v>
      </c>
      <c r="G9" s="259" t="s">
        <v>26</v>
      </c>
      <c r="H9" s="274"/>
      <c r="I9" s="6"/>
    </row>
    <row r="10">
      <c r="A10" s="324" t="s">
        <v>245</v>
      </c>
      <c r="B10" s="325">
        <v>17.0</v>
      </c>
      <c r="C10" s="262" t="s">
        <v>285</v>
      </c>
      <c r="D10" s="326" t="s">
        <v>121</v>
      </c>
      <c r="E10" s="262">
        <v>2.0</v>
      </c>
      <c r="F10" s="262">
        <v>3.0</v>
      </c>
      <c r="G10" s="263" t="s">
        <v>26</v>
      </c>
      <c r="H10" s="319"/>
      <c r="I10" s="34"/>
    </row>
    <row r="11">
      <c r="A11" s="324" t="s">
        <v>245</v>
      </c>
      <c r="B11" s="325">
        <v>17.0</v>
      </c>
      <c r="C11" s="262" t="s">
        <v>287</v>
      </c>
      <c r="D11" s="326" t="s">
        <v>121</v>
      </c>
      <c r="E11" s="262">
        <v>8.0</v>
      </c>
      <c r="F11" s="262">
        <v>1.0</v>
      </c>
      <c r="G11" s="263" t="s">
        <v>19</v>
      </c>
      <c r="H11" s="319"/>
      <c r="I11" s="34"/>
    </row>
    <row r="12">
      <c r="A12" s="327" t="s">
        <v>245</v>
      </c>
      <c r="B12" s="328">
        <v>18.0</v>
      </c>
      <c r="C12" s="329" t="s">
        <v>189</v>
      </c>
      <c r="D12" s="330" t="s">
        <v>121</v>
      </c>
      <c r="E12" s="329">
        <v>3.0</v>
      </c>
      <c r="F12" s="329">
        <v>5.0</v>
      </c>
      <c r="G12" s="331" t="s">
        <v>26</v>
      </c>
      <c r="H12" s="319"/>
      <c r="I12" s="34"/>
    </row>
    <row r="13">
      <c r="A13" s="332"/>
      <c r="B13" s="132"/>
      <c r="C13" s="132"/>
      <c r="D13" s="132"/>
      <c r="E13" s="132"/>
      <c r="F13" s="132"/>
      <c r="G13" s="133"/>
      <c r="H13" s="319"/>
      <c r="I13" s="34"/>
    </row>
    <row r="14">
      <c r="A14" s="343" t="s">
        <v>245</v>
      </c>
      <c r="B14" s="354">
        <v>24.0</v>
      </c>
      <c r="C14" s="270" t="s">
        <v>292</v>
      </c>
      <c r="D14" s="345" t="s">
        <v>254</v>
      </c>
      <c r="E14" s="270">
        <v>1.0</v>
      </c>
      <c r="F14" s="270">
        <v>3.0</v>
      </c>
      <c r="G14" s="272" t="s">
        <v>26</v>
      </c>
      <c r="H14" s="319"/>
      <c r="I14" s="42"/>
    </row>
    <row r="15">
      <c r="A15" s="334" t="s">
        <v>245</v>
      </c>
      <c r="B15" s="335">
        <v>25.0</v>
      </c>
      <c r="C15" s="298" t="s">
        <v>295</v>
      </c>
      <c r="D15" s="336" t="s">
        <v>16</v>
      </c>
      <c r="E15" s="298">
        <v>2.0</v>
      </c>
      <c r="F15" s="298">
        <v>3.0</v>
      </c>
      <c r="G15" s="302" t="s">
        <v>26</v>
      </c>
      <c r="H15" s="319"/>
      <c r="I15" s="42"/>
    </row>
    <row r="16">
      <c r="A16" s="185" t="s">
        <v>17</v>
      </c>
      <c r="B16" s="333">
        <v>2.0</v>
      </c>
      <c r="C16" s="255" t="s">
        <v>297</v>
      </c>
      <c r="D16" s="235" t="s">
        <v>16</v>
      </c>
      <c r="E16" s="255">
        <v>8.0</v>
      </c>
      <c r="F16" s="255">
        <v>1.0</v>
      </c>
      <c r="G16" s="282" t="s">
        <v>19</v>
      </c>
      <c r="H16" s="319"/>
      <c r="I16" s="42" t="s">
        <v>19</v>
      </c>
    </row>
    <row r="17">
      <c r="A17" s="185" t="s">
        <v>17</v>
      </c>
      <c r="B17" s="333">
        <v>9.0</v>
      </c>
      <c r="C17" s="255" t="s">
        <v>15</v>
      </c>
      <c r="D17" s="235" t="s">
        <v>16</v>
      </c>
      <c r="E17" s="255">
        <v>8.0</v>
      </c>
      <c r="F17" s="255">
        <v>1.0</v>
      </c>
      <c r="G17" s="282" t="s">
        <v>19</v>
      </c>
      <c r="H17" s="319"/>
      <c r="I17" s="42" t="s">
        <v>19</v>
      </c>
    </row>
    <row r="18">
      <c r="A18" s="185" t="s">
        <v>17</v>
      </c>
      <c r="B18" s="333">
        <v>15.0</v>
      </c>
      <c r="C18" s="255" t="s">
        <v>300</v>
      </c>
      <c r="D18" s="235" t="s">
        <v>301</v>
      </c>
      <c r="E18" s="255">
        <v>9.0</v>
      </c>
      <c r="F18" s="255">
        <v>0.0</v>
      </c>
      <c r="G18" s="282" t="s">
        <v>19</v>
      </c>
      <c r="H18" s="319"/>
      <c r="I18" s="42" t="s">
        <v>19</v>
      </c>
    </row>
    <row r="19">
      <c r="A19" s="185" t="s">
        <v>17</v>
      </c>
      <c r="B19" s="333">
        <v>16.0</v>
      </c>
      <c r="C19" s="255" t="s">
        <v>227</v>
      </c>
      <c r="D19" s="235" t="s">
        <v>16</v>
      </c>
      <c r="E19" s="255">
        <v>4.0</v>
      </c>
      <c r="F19" s="255">
        <v>2.0</v>
      </c>
      <c r="G19" s="282" t="s">
        <v>19</v>
      </c>
      <c r="H19" s="319"/>
      <c r="I19" s="42" t="s">
        <v>19</v>
      </c>
    </row>
    <row r="20">
      <c r="A20" s="324" t="s">
        <v>263</v>
      </c>
      <c r="B20" s="356">
        <v>23.0</v>
      </c>
      <c r="C20" s="262" t="s">
        <v>67</v>
      </c>
      <c r="D20" s="325" t="s">
        <v>16</v>
      </c>
      <c r="E20" s="262">
        <v>7.0</v>
      </c>
      <c r="F20" s="262">
        <v>3.0</v>
      </c>
      <c r="G20" s="263" t="s">
        <v>19</v>
      </c>
      <c r="H20" s="338"/>
      <c r="I20" s="50"/>
    </row>
    <row r="21">
      <c r="A21" s="185" t="s">
        <v>17</v>
      </c>
      <c r="B21" s="333">
        <v>28.0</v>
      </c>
      <c r="C21" s="255" t="s">
        <v>253</v>
      </c>
      <c r="D21" s="235" t="s">
        <v>254</v>
      </c>
      <c r="E21" s="255">
        <v>7.0</v>
      </c>
      <c r="F21" s="255">
        <v>3.0</v>
      </c>
      <c r="G21" s="282" t="s">
        <v>19</v>
      </c>
      <c r="H21" s="52"/>
      <c r="I21" s="42" t="s">
        <v>19</v>
      </c>
    </row>
    <row r="22">
      <c r="A22" s="185" t="s">
        <v>17</v>
      </c>
      <c r="B22" s="333">
        <v>30.0</v>
      </c>
      <c r="C22" s="255" t="s">
        <v>69</v>
      </c>
      <c r="D22" s="235" t="s">
        <v>16</v>
      </c>
      <c r="E22" s="255">
        <v>8.0</v>
      </c>
      <c r="F22" s="255">
        <v>2.0</v>
      </c>
      <c r="G22" s="282" t="s">
        <v>19</v>
      </c>
      <c r="H22" s="338"/>
      <c r="I22" s="42" t="s">
        <v>19</v>
      </c>
    </row>
    <row r="23">
      <c r="A23" s="185" t="s">
        <v>34</v>
      </c>
      <c r="B23" s="333">
        <v>5.0</v>
      </c>
      <c r="C23" s="255" t="s">
        <v>270</v>
      </c>
      <c r="D23" s="235" t="s">
        <v>16</v>
      </c>
      <c r="E23" s="255">
        <v>8.0</v>
      </c>
      <c r="F23" s="255">
        <v>1.0</v>
      </c>
      <c r="G23" s="282" t="s">
        <v>19</v>
      </c>
      <c r="H23" s="52"/>
      <c r="I23" s="42" t="s">
        <v>19</v>
      </c>
    </row>
    <row r="24">
      <c r="A24" s="185" t="s">
        <v>34</v>
      </c>
      <c r="B24" s="333">
        <v>12.0</v>
      </c>
      <c r="C24" s="255" t="s">
        <v>248</v>
      </c>
      <c r="D24" s="235" t="s">
        <v>16</v>
      </c>
      <c r="E24" s="255">
        <v>13.0</v>
      </c>
      <c r="F24" s="255">
        <v>0.0</v>
      </c>
      <c r="G24" s="282" t="s">
        <v>19</v>
      </c>
      <c r="H24" s="319"/>
      <c r="I24" s="42" t="s">
        <v>19</v>
      </c>
    </row>
    <row r="25">
      <c r="A25" s="324" t="s">
        <v>277</v>
      </c>
      <c r="B25" s="356">
        <v>13.0</v>
      </c>
      <c r="C25" s="262" t="s">
        <v>274</v>
      </c>
      <c r="D25" s="325" t="s">
        <v>87</v>
      </c>
      <c r="E25" s="262">
        <v>11.0</v>
      </c>
      <c r="F25" s="262">
        <v>3.0</v>
      </c>
      <c r="G25" s="263" t="s">
        <v>19</v>
      </c>
      <c r="H25" s="319"/>
      <c r="I25" s="50"/>
    </row>
    <row r="26">
      <c r="A26" s="185" t="s">
        <v>34</v>
      </c>
      <c r="B26" s="333">
        <v>18.0</v>
      </c>
      <c r="C26" s="255" t="s">
        <v>257</v>
      </c>
      <c r="D26" s="235" t="s">
        <v>16</v>
      </c>
      <c r="E26" s="255">
        <v>8.0</v>
      </c>
      <c r="F26" s="255">
        <v>1.0</v>
      </c>
      <c r="G26" s="282" t="s">
        <v>19</v>
      </c>
      <c r="H26" s="319"/>
      <c r="I26" s="42" t="s">
        <v>19</v>
      </c>
    </row>
    <row r="27">
      <c r="A27" s="185" t="s">
        <v>34</v>
      </c>
      <c r="B27" s="333">
        <v>20.0</v>
      </c>
      <c r="C27" s="255" t="s">
        <v>163</v>
      </c>
      <c r="D27" s="235" t="s">
        <v>87</v>
      </c>
      <c r="E27" s="255">
        <v>4.0</v>
      </c>
      <c r="F27" s="255">
        <v>3.0</v>
      </c>
      <c r="G27" s="282" t="s">
        <v>19</v>
      </c>
      <c r="H27" s="319"/>
      <c r="I27" s="42" t="s">
        <v>19</v>
      </c>
    </row>
    <row r="28">
      <c r="A28" s="334" t="s">
        <v>298</v>
      </c>
      <c r="B28" s="335">
        <v>21.0</v>
      </c>
      <c r="C28" s="298" t="s">
        <v>67</v>
      </c>
      <c r="D28" s="336" t="s">
        <v>304</v>
      </c>
      <c r="E28" s="298">
        <v>6.0</v>
      </c>
      <c r="F28" s="298">
        <v>5.0</v>
      </c>
      <c r="G28" s="302" t="s">
        <v>19</v>
      </c>
      <c r="H28" s="319"/>
      <c r="I28" s="42"/>
    </row>
    <row r="29">
      <c r="A29" s="334" t="s">
        <v>298</v>
      </c>
      <c r="B29" s="335">
        <v>27.0</v>
      </c>
      <c r="C29" s="298" t="s">
        <v>294</v>
      </c>
      <c r="D29" s="336" t="s">
        <v>16</v>
      </c>
      <c r="E29" s="298">
        <v>10.0</v>
      </c>
      <c r="F29" s="298">
        <v>1.0</v>
      </c>
      <c r="G29" s="302" t="s">
        <v>19</v>
      </c>
      <c r="H29" s="319"/>
      <c r="I29" s="42"/>
    </row>
    <row r="30">
      <c r="A30" s="185" t="s">
        <v>68</v>
      </c>
      <c r="B30" s="333">
        <v>28.0</v>
      </c>
      <c r="C30" s="255" t="s">
        <v>266</v>
      </c>
      <c r="D30" s="235" t="s">
        <v>267</v>
      </c>
      <c r="E30" s="255">
        <v>1.0</v>
      </c>
      <c r="F30" s="255">
        <v>0.0</v>
      </c>
      <c r="G30" s="282" t="s">
        <v>19</v>
      </c>
      <c r="H30" s="52" t="s">
        <v>265</v>
      </c>
      <c r="I30" s="42" t="s">
        <v>19</v>
      </c>
    </row>
    <row r="31">
      <c r="A31" s="185" t="s">
        <v>74</v>
      </c>
      <c r="B31" s="333">
        <v>3.0</v>
      </c>
      <c r="C31" s="255" t="s">
        <v>258</v>
      </c>
      <c r="D31" s="235" t="s">
        <v>259</v>
      </c>
      <c r="E31" s="255">
        <v>5.0</v>
      </c>
      <c r="F31" s="255">
        <v>4.0</v>
      </c>
      <c r="G31" s="282" t="s">
        <v>19</v>
      </c>
      <c r="H31" s="319"/>
      <c r="I31" s="42" t="s">
        <v>19</v>
      </c>
    </row>
    <row r="32">
      <c r="A32" s="185" t="s">
        <v>74</v>
      </c>
      <c r="B32" s="333">
        <v>4.0</v>
      </c>
      <c r="C32" s="255" t="s">
        <v>206</v>
      </c>
      <c r="D32" s="235" t="s">
        <v>143</v>
      </c>
      <c r="E32" s="255">
        <v>7.0</v>
      </c>
      <c r="F32" s="255">
        <v>3.0</v>
      </c>
      <c r="G32" s="282" t="s">
        <v>19</v>
      </c>
      <c r="H32" s="319"/>
      <c r="I32" s="42" t="s">
        <v>19</v>
      </c>
    </row>
    <row r="33">
      <c r="A33" s="357" t="s">
        <v>74</v>
      </c>
      <c r="B33" s="358">
        <v>11.0</v>
      </c>
      <c r="C33" s="360" t="s">
        <v>100</v>
      </c>
      <c r="D33" s="362" t="s">
        <v>16</v>
      </c>
      <c r="E33" s="360">
        <v>1.0</v>
      </c>
      <c r="F33" s="360">
        <v>5.0</v>
      </c>
      <c r="G33" s="363" t="s">
        <v>26</v>
      </c>
      <c r="H33" s="319"/>
      <c r="I33" s="42" t="s">
        <v>26</v>
      </c>
    </row>
    <row r="34">
      <c r="A34" s="365"/>
      <c r="B34" s="367"/>
      <c r="C34" s="369"/>
      <c r="D34" s="367"/>
      <c r="E34" s="369"/>
      <c r="F34" s="369"/>
      <c r="G34" s="371"/>
      <c r="H34" s="274"/>
      <c r="I34" s="6"/>
    </row>
    <row r="35">
      <c r="A35" s="366" t="s">
        <v>308</v>
      </c>
      <c r="B35" s="13"/>
      <c r="C35" s="13"/>
      <c r="D35" s="13"/>
      <c r="E35" s="13"/>
      <c r="F35" s="13"/>
      <c r="G35" s="14"/>
      <c r="H35" s="368"/>
      <c r="I35" s="34"/>
    </row>
    <row r="36">
      <c r="A36" s="168" t="s">
        <v>74</v>
      </c>
      <c r="B36" s="370">
        <v>18.0</v>
      </c>
      <c r="C36" s="293" t="s">
        <v>310</v>
      </c>
      <c r="D36" s="235" t="s">
        <v>259</v>
      </c>
      <c r="E36" s="293">
        <v>6.0</v>
      </c>
      <c r="F36" s="293">
        <v>7.0</v>
      </c>
      <c r="G36" s="294" t="s">
        <v>48</v>
      </c>
      <c r="H36" s="52" t="s">
        <v>40</v>
      </c>
      <c r="I36" s="42" t="s">
        <v>48</v>
      </c>
    </row>
    <row r="37">
      <c r="A37" s="374" t="s">
        <v>312</v>
      </c>
      <c r="B37" s="132"/>
      <c r="C37" s="132"/>
      <c r="D37" s="375" t="s">
        <v>314</v>
      </c>
      <c r="E37" s="377">
        <f t="shared" ref="E37:F37" si="1">SUM(E8:E36)</f>
        <v>148</v>
      </c>
      <c r="F37" s="377">
        <f t="shared" si="1"/>
        <v>66</v>
      </c>
      <c r="G37" s="378"/>
      <c r="H37" s="274"/>
      <c r="I37" s="6"/>
    </row>
  </sheetData>
  <mergeCells count="5">
    <mergeCell ref="A5:G6"/>
    <mergeCell ref="A8:G8"/>
    <mergeCell ref="A13:G13"/>
    <mergeCell ref="A35:G35"/>
    <mergeCell ref="A37:C3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.5"/>
    <col customWidth="1" min="2" max="2" width="2.75"/>
    <col customWidth="1" min="3" max="3" width="27.63"/>
    <col customWidth="1" min="4" max="4" width="39.0"/>
    <col customWidth="1" min="5" max="5" width="6.0"/>
    <col customWidth="1" min="6" max="6" width="3.5"/>
    <col customWidth="1" min="7" max="7" width="8.13"/>
    <col customWidth="1" min="8" max="8" width="5.5"/>
    <col customWidth="1" min="9" max="9" width="6.63"/>
  </cols>
  <sheetData>
    <row r="1">
      <c r="A1" s="264"/>
      <c r="B1" s="265"/>
      <c r="C1" s="266" t="s">
        <v>0</v>
      </c>
      <c r="D1" s="4" t="str">
        <f>COUNTIF(G8:G35,"W")&amp;"-"&amp;COUNTIF(G8:G35,"L")&amp;"-"&amp;COUNTIF(G8:G35,"T")&amp;"-"&amp;COUNTIF(G8:G35,"OTL")</f>
        <v>14-8-0-1</v>
      </c>
      <c r="E1" s="271"/>
      <c r="F1" s="271"/>
      <c r="G1" s="273"/>
      <c r="H1" s="274"/>
      <c r="I1" s="7"/>
    </row>
    <row r="2">
      <c r="A2" s="277"/>
      <c r="B2" s="280"/>
      <c r="C2" s="242" t="s">
        <v>1</v>
      </c>
      <c r="D2" s="10" t="str">
        <f>COUNTIF(I8:I35,"W")&amp;"-"&amp;COUNTIF(I8:I35,"L")&amp;"-"&amp;COUNTIF(I8:I35,"T")&amp;"-"&amp;COUNTIF(I8:I35,"OTL")</f>
        <v>10-5-0-1</v>
      </c>
      <c r="E2" s="286"/>
      <c r="F2" s="286"/>
      <c r="G2" s="287"/>
      <c r="H2" s="274"/>
      <c r="I2" s="6"/>
    </row>
    <row r="3">
      <c r="A3" s="288"/>
      <c r="B3" s="289"/>
      <c r="C3" s="290"/>
      <c r="D3" s="291" t="s">
        <v>2</v>
      </c>
      <c r="E3" s="295"/>
      <c r="F3" s="295"/>
      <c r="G3" s="296"/>
      <c r="H3" s="274"/>
      <c r="I3" s="6"/>
    </row>
    <row r="4">
      <c r="A4" s="299"/>
      <c r="B4" s="300"/>
      <c r="C4" s="301"/>
      <c r="D4" s="303"/>
      <c r="E4" s="304"/>
      <c r="F4" s="304"/>
      <c r="G4" s="305"/>
      <c r="H4" s="306" t="s">
        <v>3</v>
      </c>
      <c r="I4" s="20" t="s">
        <v>4</v>
      </c>
    </row>
    <row r="5">
      <c r="A5" s="307" t="s">
        <v>306</v>
      </c>
      <c r="B5" s="3"/>
      <c r="C5" s="3"/>
      <c r="D5" s="3"/>
      <c r="E5" s="3"/>
      <c r="F5" s="3"/>
      <c r="G5" s="5"/>
      <c r="H5" s="308"/>
      <c r="I5" s="6"/>
    </row>
    <row r="6">
      <c r="A6" s="310"/>
      <c r="B6" s="13"/>
      <c r="C6" s="13"/>
      <c r="D6" s="13"/>
      <c r="E6" s="13"/>
      <c r="F6" s="13"/>
      <c r="G6" s="14"/>
      <c r="H6" s="308"/>
      <c r="I6" s="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274"/>
      <c r="I7" s="6"/>
    </row>
    <row r="8">
      <c r="A8" s="318" t="s">
        <v>178</v>
      </c>
      <c r="B8" s="132"/>
      <c r="C8" s="132"/>
      <c r="D8" s="132"/>
      <c r="E8" s="132"/>
      <c r="F8" s="132"/>
      <c r="G8" s="133"/>
      <c r="H8" s="319"/>
      <c r="I8" s="34"/>
    </row>
    <row r="9">
      <c r="A9" s="320" t="s">
        <v>245</v>
      </c>
      <c r="B9" s="322">
        <v>18.0</v>
      </c>
      <c r="C9" s="258" t="s">
        <v>315</v>
      </c>
      <c r="D9" s="323" t="s">
        <v>121</v>
      </c>
      <c r="E9" s="258">
        <v>1.0</v>
      </c>
      <c r="F9" s="258">
        <v>2.0</v>
      </c>
      <c r="G9" s="259" t="s">
        <v>26</v>
      </c>
      <c r="H9" s="274"/>
      <c r="I9" s="6"/>
    </row>
    <row r="10">
      <c r="A10" s="324" t="s">
        <v>245</v>
      </c>
      <c r="B10" s="325">
        <v>19.0</v>
      </c>
      <c r="C10" s="262" t="s">
        <v>189</v>
      </c>
      <c r="D10" s="326" t="s">
        <v>121</v>
      </c>
      <c r="E10" s="262">
        <v>5.0</v>
      </c>
      <c r="F10" s="262">
        <v>1.0</v>
      </c>
      <c r="G10" s="263" t="s">
        <v>19</v>
      </c>
      <c r="H10" s="319"/>
      <c r="I10" s="34"/>
    </row>
    <row r="11">
      <c r="A11" s="324" t="s">
        <v>245</v>
      </c>
      <c r="B11" s="325">
        <v>19.0</v>
      </c>
      <c r="C11" s="262" t="s">
        <v>317</v>
      </c>
      <c r="D11" s="326" t="s">
        <v>121</v>
      </c>
      <c r="E11" s="262">
        <v>0.0</v>
      </c>
      <c r="F11" s="262">
        <v>12.0</v>
      </c>
      <c r="G11" s="263" t="s">
        <v>26</v>
      </c>
      <c r="H11" s="319"/>
      <c r="I11" s="34"/>
    </row>
    <row r="12">
      <c r="A12" s="327" t="s">
        <v>245</v>
      </c>
      <c r="B12" s="328">
        <v>20.0</v>
      </c>
      <c r="C12" s="329" t="s">
        <v>287</v>
      </c>
      <c r="D12" s="330" t="s">
        <v>121</v>
      </c>
      <c r="E12" s="329">
        <v>2.0</v>
      </c>
      <c r="F12" s="329">
        <v>1.0</v>
      </c>
      <c r="G12" s="331" t="s">
        <v>19</v>
      </c>
      <c r="H12" s="319"/>
      <c r="I12" s="34"/>
    </row>
    <row r="13">
      <c r="A13" s="332"/>
      <c r="B13" s="132"/>
      <c r="C13" s="132"/>
      <c r="D13" s="132"/>
      <c r="E13" s="132"/>
      <c r="F13" s="132"/>
      <c r="G13" s="133"/>
      <c r="H13" s="319"/>
      <c r="I13" s="34"/>
    </row>
    <row r="14">
      <c r="A14" s="168" t="s">
        <v>17</v>
      </c>
      <c r="B14" s="379">
        <v>4.0</v>
      </c>
      <c r="C14" s="293" t="s">
        <v>15</v>
      </c>
      <c r="D14" s="370" t="s">
        <v>16</v>
      </c>
      <c r="E14" s="293">
        <v>11.0</v>
      </c>
      <c r="F14" s="293">
        <v>1.0</v>
      </c>
      <c r="G14" s="294" t="s">
        <v>19</v>
      </c>
      <c r="H14" s="319"/>
      <c r="I14" s="42" t="s">
        <v>19</v>
      </c>
    </row>
    <row r="15">
      <c r="A15" s="185" t="s">
        <v>17</v>
      </c>
      <c r="B15" s="333">
        <v>9.0</v>
      </c>
      <c r="C15" s="255" t="s">
        <v>253</v>
      </c>
      <c r="D15" s="235" t="s">
        <v>254</v>
      </c>
      <c r="E15" s="255">
        <v>3.0</v>
      </c>
      <c r="F15" s="255">
        <v>2.0</v>
      </c>
      <c r="G15" s="282" t="s">
        <v>19</v>
      </c>
      <c r="H15" s="319"/>
      <c r="I15" s="42" t="s">
        <v>19</v>
      </c>
    </row>
    <row r="16">
      <c r="A16" s="185" t="s">
        <v>17</v>
      </c>
      <c r="B16" s="333">
        <v>11.0</v>
      </c>
      <c r="C16" s="255" t="s">
        <v>297</v>
      </c>
      <c r="D16" s="235" t="s">
        <v>16</v>
      </c>
      <c r="E16" s="255">
        <v>2.0</v>
      </c>
      <c r="F16" s="255">
        <v>3.0</v>
      </c>
      <c r="G16" s="282" t="s">
        <v>26</v>
      </c>
      <c r="H16" s="319"/>
      <c r="I16" s="42" t="s">
        <v>26</v>
      </c>
    </row>
    <row r="17">
      <c r="A17" s="324" t="s">
        <v>263</v>
      </c>
      <c r="B17" s="356">
        <v>18.0</v>
      </c>
      <c r="C17" s="262" t="s">
        <v>318</v>
      </c>
      <c r="D17" s="325" t="s">
        <v>16</v>
      </c>
      <c r="E17" s="262">
        <v>4.0</v>
      </c>
      <c r="F17" s="262">
        <v>1.0</v>
      </c>
      <c r="G17" s="263" t="s">
        <v>19</v>
      </c>
      <c r="H17" s="338"/>
      <c r="I17" s="50"/>
    </row>
    <row r="18">
      <c r="A18" s="185" t="s">
        <v>17</v>
      </c>
      <c r="B18" s="333">
        <v>25.0</v>
      </c>
      <c r="C18" s="255" t="s">
        <v>100</v>
      </c>
      <c r="D18" s="235" t="s">
        <v>16</v>
      </c>
      <c r="E18" s="255">
        <v>2.0</v>
      </c>
      <c r="F18" s="255">
        <v>3.0</v>
      </c>
      <c r="G18" s="282" t="s">
        <v>48</v>
      </c>
      <c r="H18" s="52" t="s">
        <v>302</v>
      </c>
      <c r="I18" s="42" t="s">
        <v>48</v>
      </c>
    </row>
    <row r="19">
      <c r="A19" s="185" t="s">
        <v>17</v>
      </c>
      <c r="B19" s="333">
        <v>30.0</v>
      </c>
      <c r="C19" s="255" t="s">
        <v>206</v>
      </c>
      <c r="D19" s="235" t="s">
        <v>143</v>
      </c>
      <c r="E19" s="255">
        <v>10.0</v>
      </c>
      <c r="F19" s="255">
        <v>3.0</v>
      </c>
      <c r="G19" s="282" t="s">
        <v>19</v>
      </c>
      <c r="H19" s="338"/>
      <c r="I19" s="42" t="s">
        <v>19</v>
      </c>
    </row>
    <row r="20">
      <c r="A20" s="185" t="s">
        <v>34</v>
      </c>
      <c r="B20" s="333">
        <v>1.0</v>
      </c>
      <c r="C20" s="255" t="s">
        <v>270</v>
      </c>
      <c r="D20" s="235" t="s">
        <v>16</v>
      </c>
      <c r="E20" s="255">
        <v>2.0</v>
      </c>
      <c r="F20" s="255">
        <v>1.0</v>
      </c>
      <c r="G20" s="282" t="s">
        <v>19</v>
      </c>
      <c r="H20" s="52" t="s">
        <v>40</v>
      </c>
      <c r="I20" s="42" t="s">
        <v>19</v>
      </c>
    </row>
    <row r="21">
      <c r="A21" s="185" t="s">
        <v>34</v>
      </c>
      <c r="B21" s="333">
        <v>6.0</v>
      </c>
      <c r="C21" s="255" t="s">
        <v>248</v>
      </c>
      <c r="D21" s="235" t="s">
        <v>16</v>
      </c>
      <c r="E21" s="255">
        <v>16.0</v>
      </c>
      <c r="F21" s="255">
        <v>0.0</v>
      </c>
      <c r="G21" s="282" t="s">
        <v>19</v>
      </c>
      <c r="H21" s="319"/>
      <c r="I21" s="42" t="s">
        <v>19</v>
      </c>
    </row>
    <row r="22">
      <c r="A22" s="324" t="s">
        <v>277</v>
      </c>
      <c r="B22" s="356">
        <v>20.0</v>
      </c>
      <c r="C22" s="262" t="s">
        <v>295</v>
      </c>
      <c r="D22" s="325" t="s">
        <v>16</v>
      </c>
      <c r="E22" s="262">
        <v>4.0</v>
      </c>
      <c r="F22" s="262">
        <v>5.0</v>
      </c>
      <c r="G22" s="263" t="s">
        <v>26</v>
      </c>
      <c r="H22" s="319"/>
      <c r="I22" s="50"/>
    </row>
    <row r="23">
      <c r="A23" s="324" t="s">
        <v>277</v>
      </c>
      <c r="B23" s="356">
        <v>21.0</v>
      </c>
      <c r="C23" s="262" t="s">
        <v>319</v>
      </c>
      <c r="D23" s="325" t="s">
        <v>267</v>
      </c>
      <c r="E23" s="262">
        <v>3.0</v>
      </c>
      <c r="F23" s="262">
        <v>2.0</v>
      </c>
      <c r="G23" s="263" t="s">
        <v>19</v>
      </c>
      <c r="H23" s="319"/>
      <c r="I23" s="50"/>
    </row>
    <row r="24">
      <c r="A24" s="185" t="s">
        <v>61</v>
      </c>
      <c r="B24" s="333">
        <v>5.0</v>
      </c>
      <c r="C24" s="255" t="s">
        <v>69</v>
      </c>
      <c r="D24" s="235" t="s">
        <v>16</v>
      </c>
      <c r="E24" s="255">
        <v>11.0</v>
      </c>
      <c r="F24" s="255">
        <v>0.0</v>
      </c>
      <c r="G24" s="282" t="s">
        <v>19</v>
      </c>
      <c r="H24" s="319"/>
      <c r="I24" s="42" t="s">
        <v>19</v>
      </c>
    </row>
    <row r="25">
      <c r="A25" s="29" t="s">
        <v>68</v>
      </c>
      <c r="B25" s="380">
        <v>22.0</v>
      </c>
      <c r="C25" s="381" t="s">
        <v>227</v>
      </c>
      <c r="D25" s="235" t="s">
        <v>16</v>
      </c>
      <c r="E25" s="381">
        <v>1.0</v>
      </c>
      <c r="F25" s="381">
        <v>5.0</v>
      </c>
      <c r="G25" s="385" t="s">
        <v>26</v>
      </c>
      <c r="H25" s="319"/>
      <c r="I25" s="42" t="s">
        <v>26</v>
      </c>
    </row>
    <row r="26">
      <c r="A26" s="324" t="s">
        <v>298</v>
      </c>
      <c r="B26" s="356">
        <v>23.0</v>
      </c>
      <c r="C26" s="262" t="s">
        <v>321</v>
      </c>
      <c r="D26" s="325" t="s">
        <v>254</v>
      </c>
      <c r="E26" s="387"/>
      <c r="F26" s="387"/>
      <c r="G26" s="263" t="s">
        <v>322</v>
      </c>
      <c r="H26" s="319"/>
      <c r="I26" s="34"/>
    </row>
    <row r="27">
      <c r="A27" s="185" t="s">
        <v>68</v>
      </c>
      <c r="B27" s="333">
        <v>29.0</v>
      </c>
      <c r="C27" s="255" t="s">
        <v>300</v>
      </c>
      <c r="D27" s="235" t="s">
        <v>91</v>
      </c>
      <c r="E27" s="255">
        <v>1.0</v>
      </c>
      <c r="F27" s="255">
        <v>3.0</v>
      </c>
      <c r="G27" s="282" t="s">
        <v>26</v>
      </c>
      <c r="H27" s="319"/>
      <c r="I27" s="42" t="s">
        <v>26</v>
      </c>
    </row>
    <row r="28">
      <c r="A28" s="185" t="s">
        <v>68</v>
      </c>
      <c r="B28" s="333">
        <v>30.0</v>
      </c>
      <c r="C28" s="255" t="s">
        <v>266</v>
      </c>
      <c r="D28" s="235" t="s">
        <v>267</v>
      </c>
      <c r="E28" s="255">
        <v>7.0</v>
      </c>
      <c r="F28" s="255">
        <v>2.0</v>
      </c>
      <c r="G28" s="282" t="s">
        <v>19</v>
      </c>
      <c r="H28" s="319"/>
      <c r="I28" s="42" t="s">
        <v>19</v>
      </c>
    </row>
    <row r="29">
      <c r="A29" s="185" t="s">
        <v>68</v>
      </c>
      <c r="B29" s="333">
        <v>31.0</v>
      </c>
      <c r="C29" s="255" t="s">
        <v>163</v>
      </c>
      <c r="D29" s="235" t="s">
        <v>87</v>
      </c>
      <c r="E29" s="255">
        <v>0.0</v>
      </c>
      <c r="F29" s="255">
        <v>2.0</v>
      </c>
      <c r="G29" s="282" t="s">
        <v>26</v>
      </c>
      <c r="H29" s="319"/>
      <c r="I29" s="42" t="s">
        <v>26</v>
      </c>
    </row>
    <row r="30">
      <c r="A30" s="185" t="s">
        <v>74</v>
      </c>
      <c r="B30" s="333">
        <v>5.0</v>
      </c>
      <c r="C30" s="255" t="s">
        <v>258</v>
      </c>
      <c r="D30" s="235" t="s">
        <v>259</v>
      </c>
      <c r="E30" s="255">
        <v>4.0</v>
      </c>
      <c r="F30" s="255">
        <v>3.0</v>
      </c>
      <c r="G30" s="282" t="s">
        <v>19</v>
      </c>
      <c r="H30" s="319"/>
      <c r="I30" s="42" t="s">
        <v>19</v>
      </c>
    </row>
    <row r="31">
      <c r="A31" s="357" t="s">
        <v>74</v>
      </c>
      <c r="B31" s="358">
        <v>6.0</v>
      </c>
      <c r="C31" s="360" t="s">
        <v>257</v>
      </c>
      <c r="D31" s="362" t="s">
        <v>16</v>
      </c>
      <c r="E31" s="360">
        <v>8.0</v>
      </c>
      <c r="F31" s="360">
        <v>1.0</v>
      </c>
      <c r="G31" s="363" t="s">
        <v>19</v>
      </c>
      <c r="H31" s="319"/>
      <c r="I31" s="42" t="s">
        <v>19</v>
      </c>
    </row>
    <row r="32">
      <c r="A32" s="365"/>
      <c r="B32" s="367"/>
      <c r="C32" s="369"/>
      <c r="D32" s="367"/>
      <c r="E32" s="369"/>
      <c r="F32" s="369"/>
      <c r="G32" s="371"/>
      <c r="H32" s="274"/>
      <c r="I32" s="6"/>
    </row>
    <row r="33">
      <c r="A33" s="366" t="s">
        <v>323</v>
      </c>
      <c r="B33" s="13"/>
      <c r="C33" s="13"/>
      <c r="D33" s="13"/>
      <c r="E33" s="13"/>
      <c r="F33" s="13"/>
      <c r="G33" s="14"/>
      <c r="H33" s="368"/>
      <c r="I33" s="34"/>
    </row>
    <row r="34">
      <c r="A34" s="168" t="s">
        <v>74</v>
      </c>
      <c r="B34" s="370">
        <v>13.0</v>
      </c>
      <c r="C34" s="293" t="s">
        <v>326</v>
      </c>
      <c r="D34" s="235" t="s">
        <v>259</v>
      </c>
      <c r="E34" s="293">
        <v>3.0</v>
      </c>
      <c r="F34" s="293">
        <v>2.0</v>
      </c>
      <c r="G34" s="294" t="s">
        <v>19</v>
      </c>
      <c r="H34" s="52" t="s">
        <v>40</v>
      </c>
      <c r="I34" s="42" t="s">
        <v>19</v>
      </c>
    </row>
    <row r="35">
      <c r="A35" s="372" t="s">
        <v>74</v>
      </c>
      <c r="B35" s="362">
        <v>14.0</v>
      </c>
      <c r="C35" s="360" t="s">
        <v>328</v>
      </c>
      <c r="D35" s="235" t="s">
        <v>259</v>
      </c>
      <c r="E35" s="360">
        <v>4.0</v>
      </c>
      <c r="F35" s="360">
        <v>5.0</v>
      </c>
      <c r="G35" s="363" t="s">
        <v>26</v>
      </c>
      <c r="H35" s="306"/>
      <c r="I35" s="116" t="s">
        <v>26</v>
      </c>
    </row>
    <row r="36">
      <c r="A36" s="374" t="s">
        <v>312</v>
      </c>
      <c r="B36" s="132"/>
      <c r="C36" s="132"/>
      <c r="D36" s="375" t="s">
        <v>314</v>
      </c>
      <c r="E36" s="377">
        <f t="shared" ref="E36:F36" si="1">SUM(E8:E35)</f>
        <v>104</v>
      </c>
      <c r="F36" s="377">
        <f t="shared" si="1"/>
        <v>60</v>
      </c>
      <c r="G36" s="378"/>
      <c r="H36" s="274"/>
      <c r="I36" s="6"/>
    </row>
  </sheetData>
  <mergeCells count="5">
    <mergeCell ref="A5:G6"/>
    <mergeCell ref="A8:G8"/>
    <mergeCell ref="A13:G13"/>
    <mergeCell ref="A33:G33"/>
    <mergeCell ref="A36:C3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6.5"/>
    <col customWidth="1" min="2" max="2" width="2.75"/>
    <col customWidth="1" min="3" max="3" width="27.63"/>
    <col customWidth="1" min="4" max="4" width="39.0"/>
    <col customWidth="1" min="5" max="5" width="6.0"/>
    <col customWidth="1" min="6" max="6" width="3.5"/>
    <col customWidth="1" min="7" max="7" width="8.13"/>
    <col customWidth="1" min="8" max="8" width="5.5"/>
    <col customWidth="1" min="9" max="9" width="6.63"/>
  </cols>
  <sheetData>
    <row r="1">
      <c r="A1" s="264"/>
      <c r="B1" s="265"/>
      <c r="C1" s="266" t="s">
        <v>0</v>
      </c>
      <c r="D1" s="4" t="str">
        <f>COUNTIF(G8:G36,"W")&amp;"-"&amp;COUNTIF(G8:G36,"L")&amp;"-"&amp;COUNTIF(G8:G36,"T")&amp;"-"&amp;COUNTIF(G8:G36,"OTL")</f>
        <v>15-6-2-2</v>
      </c>
      <c r="E1" s="271"/>
      <c r="F1" s="271"/>
      <c r="G1" s="273"/>
      <c r="H1" s="274"/>
      <c r="I1" s="7"/>
    </row>
    <row r="2">
      <c r="A2" s="277"/>
      <c r="B2" s="280"/>
      <c r="C2" s="242" t="s">
        <v>1</v>
      </c>
      <c r="D2" s="10" t="str">
        <f>COUNTIF(I8:I36,"W")&amp;"-"&amp;COUNTIF(I8:I36,"L")&amp;"-"&amp;COUNTIF(I8:I36,"T")&amp;"-"&amp;COUNTIF(I8:I36,"OTL")</f>
        <v>10-2-0-2</v>
      </c>
      <c r="E2" s="286"/>
      <c r="F2" s="286"/>
      <c r="G2" s="287"/>
      <c r="H2" s="274"/>
      <c r="I2" s="6"/>
    </row>
    <row r="3">
      <c r="A3" s="288"/>
      <c r="B3" s="289"/>
      <c r="C3" s="290"/>
      <c r="D3" s="291" t="s">
        <v>2</v>
      </c>
      <c r="E3" s="295"/>
      <c r="F3" s="295"/>
      <c r="G3" s="296"/>
      <c r="H3" s="274"/>
      <c r="I3" s="6"/>
    </row>
    <row r="4">
      <c r="A4" s="299"/>
      <c r="B4" s="300"/>
      <c r="C4" s="301"/>
      <c r="D4" s="303"/>
      <c r="E4" s="304"/>
      <c r="F4" s="304"/>
      <c r="G4" s="305"/>
      <c r="H4" s="306" t="s">
        <v>3</v>
      </c>
      <c r="I4" s="20" t="s">
        <v>4</v>
      </c>
    </row>
    <row r="5">
      <c r="A5" s="382" t="s">
        <v>320</v>
      </c>
      <c r="B5" s="3"/>
      <c r="C5" s="3"/>
      <c r="D5" s="3"/>
      <c r="E5" s="3"/>
      <c r="F5" s="3"/>
      <c r="G5" s="5"/>
      <c r="H5" s="308"/>
      <c r="I5" s="6"/>
    </row>
    <row r="6">
      <c r="A6" s="310"/>
      <c r="B6" s="13"/>
      <c r="C6" s="13"/>
      <c r="D6" s="13"/>
      <c r="E6" s="13"/>
      <c r="F6" s="13"/>
      <c r="G6" s="14"/>
      <c r="H6" s="308"/>
      <c r="I6" s="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274"/>
      <c r="I7" s="6"/>
    </row>
    <row r="8">
      <c r="A8" s="318" t="s">
        <v>178</v>
      </c>
      <c r="B8" s="132"/>
      <c r="C8" s="132"/>
      <c r="D8" s="132"/>
      <c r="E8" s="132"/>
      <c r="F8" s="132"/>
      <c r="G8" s="133"/>
      <c r="H8" s="319"/>
      <c r="I8" s="34"/>
    </row>
    <row r="9">
      <c r="A9" s="386" t="s">
        <v>245</v>
      </c>
      <c r="B9" s="323">
        <v>19.0</v>
      </c>
      <c r="C9" s="388" t="s">
        <v>285</v>
      </c>
      <c r="D9" s="323" t="s">
        <v>121</v>
      </c>
      <c r="E9" s="388">
        <v>0.0</v>
      </c>
      <c r="F9" s="388">
        <v>4.0</v>
      </c>
      <c r="G9" s="390" t="s">
        <v>26</v>
      </c>
      <c r="H9" s="274"/>
      <c r="I9" s="6"/>
    </row>
    <row r="10">
      <c r="A10" s="391" t="s">
        <v>245</v>
      </c>
      <c r="B10" s="326">
        <v>20.0</v>
      </c>
      <c r="C10" s="387" t="s">
        <v>287</v>
      </c>
      <c r="D10" s="326" t="s">
        <v>121</v>
      </c>
      <c r="E10" s="387">
        <v>3.0</v>
      </c>
      <c r="F10" s="387">
        <v>3.0</v>
      </c>
      <c r="G10" s="392" t="s">
        <v>73</v>
      </c>
      <c r="H10" s="319"/>
      <c r="I10" s="34"/>
    </row>
    <row r="11">
      <c r="A11" s="391" t="s">
        <v>245</v>
      </c>
      <c r="B11" s="326">
        <v>20.0</v>
      </c>
      <c r="C11" s="387" t="s">
        <v>317</v>
      </c>
      <c r="D11" s="326" t="s">
        <v>121</v>
      </c>
      <c r="E11" s="387">
        <v>6.0</v>
      </c>
      <c r="F11" s="387">
        <v>6.0</v>
      </c>
      <c r="G11" s="392" t="s">
        <v>73</v>
      </c>
      <c r="H11" s="319"/>
      <c r="I11" s="34"/>
    </row>
    <row r="12">
      <c r="A12" s="393" t="s">
        <v>245</v>
      </c>
      <c r="B12" s="330">
        <v>21.0</v>
      </c>
      <c r="C12" s="394" t="s">
        <v>315</v>
      </c>
      <c r="D12" s="330" t="s">
        <v>121</v>
      </c>
      <c r="E12" s="394">
        <v>2.0</v>
      </c>
      <c r="F12" s="394">
        <v>4.0</v>
      </c>
      <c r="G12" s="396" t="s">
        <v>26</v>
      </c>
      <c r="H12" s="319"/>
      <c r="I12" s="34"/>
    </row>
    <row r="13">
      <c r="A13" s="332"/>
      <c r="B13" s="132"/>
      <c r="C13" s="132"/>
      <c r="D13" s="132"/>
      <c r="E13" s="132"/>
      <c r="F13" s="132"/>
      <c r="G13" s="133"/>
      <c r="H13" s="319"/>
      <c r="I13" s="34"/>
    </row>
    <row r="14">
      <c r="A14" s="398" t="s">
        <v>245</v>
      </c>
      <c r="B14" s="399">
        <v>28.0</v>
      </c>
      <c r="C14" s="400" t="s">
        <v>327</v>
      </c>
      <c r="D14" s="401" t="s">
        <v>254</v>
      </c>
      <c r="E14" s="400">
        <v>6.0</v>
      </c>
      <c r="F14" s="400">
        <v>1.0</v>
      </c>
      <c r="G14" s="403" t="s">
        <v>19</v>
      </c>
      <c r="H14" s="319"/>
      <c r="I14" s="34"/>
    </row>
    <row r="15">
      <c r="A15" s="405" t="s">
        <v>17</v>
      </c>
      <c r="B15" s="407">
        <v>4.0</v>
      </c>
      <c r="C15" s="408" t="s">
        <v>39</v>
      </c>
      <c r="D15" s="409" t="s">
        <v>143</v>
      </c>
      <c r="E15" s="408">
        <v>5.0</v>
      </c>
      <c r="F15" s="408">
        <v>3.0</v>
      </c>
      <c r="G15" s="411" t="s">
        <v>19</v>
      </c>
      <c r="H15" s="319"/>
      <c r="I15" s="50" t="s">
        <v>19</v>
      </c>
    </row>
    <row r="16">
      <c r="A16" s="414" t="s">
        <v>17</v>
      </c>
      <c r="B16" s="415">
        <v>11.0</v>
      </c>
      <c r="C16" s="418" t="s">
        <v>332</v>
      </c>
      <c r="D16" s="419" t="s">
        <v>333</v>
      </c>
      <c r="E16" s="418">
        <v>5.0</v>
      </c>
      <c r="F16" s="418">
        <v>6.0</v>
      </c>
      <c r="G16" s="420" t="s">
        <v>26</v>
      </c>
      <c r="H16" s="319"/>
      <c r="I16" s="34"/>
    </row>
    <row r="17">
      <c r="A17" s="405" t="s">
        <v>17</v>
      </c>
      <c r="B17" s="407">
        <v>12.0</v>
      </c>
      <c r="C17" s="408" t="s">
        <v>270</v>
      </c>
      <c r="D17" s="409" t="s">
        <v>16</v>
      </c>
      <c r="E17" s="408">
        <v>3.0</v>
      </c>
      <c r="F17" s="408">
        <v>4.0</v>
      </c>
      <c r="G17" s="411" t="s">
        <v>48</v>
      </c>
      <c r="H17" s="338" t="s">
        <v>40</v>
      </c>
      <c r="I17" s="50" t="s">
        <v>48</v>
      </c>
    </row>
    <row r="18">
      <c r="A18" s="405" t="s">
        <v>17</v>
      </c>
      <c r="B18" s="407">
        <v>17.0</v>
      </c>
      <c r="C18" s="408" t="s">
        <v>336</v>
      </c>
      <c r="D18" s="409" t="s">
        <v>337</v>
      </c>
      <c r="E18" s="408">
        <v>6.0</v>
      </c>
      <c r="F18" s="408">
        <v>1.0</v>
      </c>
      <c r="G18" s="411" t="s">
        <v>19</v>
      </c>
      <c r="H18" s="319"/>
      <c r="I18" s="50" t="s">
        <v>19</v>
      </c>
    </row>
    <row r="19">
      <c r="A19" s="405" t="s">
        <v>17</v>
      </c>
      <c r="B19" s="407">
        <v>19.0</v>
      </c>
      <c r="C19" s="408" t="s">
        <v>69</v>
      </c>
      <c r="D19" s="409" t="s">
        <v>16</v>
      </c>
      <c r="E19" s="408">
        <v>10.0</v>
      </c>
      <c r="F19" s="408">
        <v>4.0</v>
      </c>
      <c r="G19" s="411" t="s">
        <v>19</v>
      </c>
      <c r="H19" s="319"/>
      <c r="I19" s="50" t="s">
        <v>19</v>
      </c>
    </row>
    <row r="20">
      <c r="A20" s="414" t="s">
        <v>263</v>
      </c>
      <c r="B20" s="415">
        <v>25.0</v>
      </c>
      <c r="C20" s="418" t="s">
        <v>340</v>
      </c>
      <c r="D20" s="419" t="s">
        <v>267</v>
      </c>
      <c r="E20" s="418">
        <v>5.0</v>
      </c>
      <c r="F20" s="418">
        <v>4.0</v>
      </c>
      <c r="G20" s="420" t="s">
        <v>19</v>
      </c>
      <c r="H20" s="338" t="s">
        <v>40</v>
      </c>
      <c r="I20" s="34"/>
    </row>
    <row r="21">
      <c r="A21" s="414" t="s">
        <v>263</v>
      </c>
      <c r="B21" s="415">
        <v>26.0</v>
      </c>
      <c r="C21" s="418" t="s">
        <v>67</v>
      </c>
      <c r="D21" s="419" t="s">
        <v>16</v>
      </c>
      <c r="E21" s="418">
        <v>0.0</v>
      </c>
      <c r="F21" s="418">
        <v>2.0</v>
      </c>
      <c r="G21" s="420" t="s">
        <v>26</v>
      </c>
      <c r="H21" s="319"/>
      <c r="I21" s="34"/>
    </row>
    <row r="22">
      <c r="A22" s="405" t="s">
        <v>17</v>
      </c>
      <c r="B22" s="407">
        <v>31.0</v>
      </c>
      <c r="C22" s="408" t="s">
        <v>342</v>
      </c>
      <c r="D22" s="409" t="s">
        <v>343</v>
      </c>
      <c r="E22" s="408">
        <v>2.0</v>
      </c>
      <c r="F22" s="408">
        <v>5.0</v>
      </c>
      <c r="G22" s="411" t="s">
        <v>26</v>
      </c>
      <c r="H22" s="319"/>
      <c r="I22" s="50" t="s">
        <v>26</v>
      </c>
    </row>
    <row r="23">
      <c r="A23" s="405" t="s">
        <v>34</v>
      </c>
      <c r="B23" s="407">
        <v>2.0</v>
      </c>
      <c r="C23" s="408" t="s">
        <v>227</v>
      </c>
      <c r="D23" s="409" t="s">
        <v>16</v>
      </c>
      <c r="E23" s="408">
        <v>6.0</v>
      </c>
      <c r="F23" s="408">
        <v>3.0</v>
      </c>
      <c r="G23" s="411" t="s">
        <v>19</v>
      </c>
      <c r="H23" s="319"/>
      <c r="I23" s="50" t="s">
        <v>19</v>
      </c>
    </row>
    <row r="24">
      <c r="A24" s="414" t="s">
        <v>34</v>
      </c>
      <c r="B24" s="415">
        <v>8.0</v>
      </c>
      <c r="C24" s="418" t="s">
        <v>346</v>
      </c>
      <c r="D24" s="419" t="s">
        <v>16</v>
      </c>
      <c r="E24" s="418">
        <v>17.0</v>
      </c>
      <c r="F24" s="418">
        <v>1.0</v>
      </c>
      <c r="G24" s="420" t="s">
        <v>19</v>
      </c>
      <c r="H24" s="319"/>
      <c r="I24" s="34"/>
    </row>
    <row r="25">
      <c r="A25" s="405" t="s">
        <v>34</v>
      </c>
      <c r="B25" s="407">
        <v>14.0</v>
      </c>
      <c r="C25" s="408" t="s">
        <v>15</v>
      </c>
      <c r="D25" s="409" t="s">
        <v>16</v>
      </c>
      <c r="E25" s="408">
        <v>12.0</v>
      </c>
      <c r="F25" s="408">
        <v>2.0</v>
      </c>
      <c r="G25" s="411" t="s">
        <v>19</v>
      </c>
      <c r="H25" s="319"/>
      <c r="I25" s="50" t="s">
        <v>19</v>
      </c>
    </row>
    <row r="26">
      <c r="A26" s="405" t="s">
        <v>34</v>
      </c>
      <c r="B26" s="407">
        <v>22.0</v>
      </c>
      <c r="C26" s="408" t="s">
        <v>23</v>
      </c>
      <c r="D26" s="409" t="s">
        <v>16</v>
      </c>
      <c r="E26" s="408">
        <v>8.0</v>
      </c>
      <c r="F26" s="408">
        <v>6.0</v>
      </c>
      <c r="G26" s="411" t="s">
        <v>19</v>
      </c>
      <c r="H26" s="319"/>
      <c r="I26" s="50" t="s">
        <v>19</v>
      </c>
    </row>
    <row r="27">
      <c r="A27" s="414" t="s">
        <v>349</v>
      </c>
      <c r="B27" s="415">
        <v>6.0</v>
      </c>
      <c r="C27" s="418" t="s">
        <v>318</v>
      </c>
      <c r="D27" s="419" t="s">
        <v>16</v>
      </c>
      <c r="E27" s="418">
        <v>10.0</v>
      </c>
      <c r="F27" s="418">
        <v>3.0</v>
      </c>
      <c r="G27" s="420" t="s">
        <v>19</v>
      </c>
      <c r="H27" s="319"/>
      <c r="I27" s="34"/>
    </row>
    <row r="28">
      <c r="A28" s="414" t="s">
        <v>298</v>
      </c>
      <c r="B28" s="415">
        <v>17.0</v>
      </c>
      <c r="C28" s="418" t="s">
        <v>295</v>
      </c>
      <c r="D28" s="419" t="s">
        <v>16</v>
      </c>
      <c r="E28" s="418">
        <v>5.0</v>
      </c>
      <c r="F28" s="418">
        <v>4.0</v>
      </c>
      <c r="G28" s="420" t="s">
        <v>19</v>
      </c>
      <c r="H28" s="319"/>
      <c r="I28" s="34"/>
    </row>
    <row r="29">
      <c r="A29" s="405" t="s">
        <v>68</v>
      </c>
      <c r="B29" s="407">
        <v>23.0</v>
      </c>
      <c r="C29" s="408" t="s">
        <v>355</v>
      </c>
      <c r="D29" s="409" t="s">
        <v>267</v>
      </c>
      <c r="E29" s="408">
        <v>9.0</v>
      </c>
      <c r="F29" s="408">
        <v>7.0</v>
      </c>
      <c r="G29" s="411" t="s">
        <v>19</v>
      </c>
      <c r="H29" s="319"/>
      <c r="I29" s="50" t="s">
        <v>19</v>
      </c>
    </row>
    <row r="30">
      <c r="A30" s="405" t="s">
        <v>68</v>
      </c>
      <c r="B30" s="407">
        <v>30.0</v>
      </c>
      <c r="C30" s="408" t="s">
        <v>257</v>
      </c>
      <c r="D30" s="409" t="s">
        <v>16</v>
      </c>
      <c r="E30" s="408">
        <v>6.0</v>
      </c>
      <c r="F30" s="408">
        <v>1.0</v>
      </c>
      <c r="G30" s="411" t="s">
        <v>19</v>
      </c>
      <c r="H30" s="319"/>
      <c r="I30" s="50" t="s">
        <v>19</v>
      </c>
    </row>
    <row r="31">
      <c r="A31" s="405" t="s">
        <v>68</v>
      </c>
      <c r="B31" s="407">
        <v>31.0</v>
      </c>
      <c r="C31" s="408" t="s">
        <v>359</v>
      </c>
      <c r="D31" s="409" t="s">
        <v>360</v>
      </c>
      <c r="E31" s="408">
        <v>3.0</v>
      </c>
      <c r="F31" s="408">
        <v>6.0</v>
      </c>
      <c r="G31" s="411" t="s">
        <v>26</v>
      </c>
      <c r="H31" s="319"/>
      <c r="I31" s="50" t="s">
        <v>26</v>
      </c>
    </row>
    <row r="32">
      <c r="A32" s="405" t="s">
        <v>74</v>
      </c>
      <c r="B32" s="407">
        <v>7.0</v>
      </c>
      <c r="C32" s="408" t="s">
        <v>362</v>
      </c>
      <c r="D32" s="409" t="s">
        <v>16</v>
      </c>
      <c r="E32" s="408">
        <v>5.0</v>
      </c>
      <c r="F32" s="408">
        <v>2.0</v>
      </c>
      <c r="G32" s="411" t="s">
        <v>19</v>
      </c>
      <c r="H32" s="319"/>
      <c r="I32" s="50" t="s">
        <v>19</v>
      </c>
    </row>
    <row r="33">
      <c r="A33" s="365"/>
      <c r="B33" s="367"/>
      <c r="C33" s="369"/>
      <c r="D33" s="367"/>
      <c r="E33" s="369"/>
      <c r="F33" s="369"/>
      <c r="G33" s="371"/>
      <c r="H33" s="274"/>
      <c r="I33" s="6"/>
    </row>
    <row r="34">
      <c r="A34" s="434" t="s">
        <v>369</v>
      </c>
      <c r="B34" s="13"/>
      <c r="C34" s="13"/>
      <c r="D34" s="13"/>
      <c r="E34" s="13"/>
      <c r="F34" s="13"/>
      <c r="G34" s="14"/>
      <c r="H34" s="368"/>
      <c r="I34" s="34"/>
    </row>
    <row r="35">
      <c r="A35" s="424" t="s">
        <v>74</v>
      </c>
      <c r="B35" s="426">
        <v>14.0</v>
      </c>
      <c r="C35" s="252" t="s">
        <v>373</v>
      </c>
      <c r="D35" s="426" t="s">
        <v>254</v>
      </c>
      <c r="E35" s="252">
        <v>7.0</v>
      </c>
      <c r="F35" s="252">
        <v>4.0</v>
      </c>
      <c r="G35" s="427" t="s">
        <v>19</v>
      </c>
      <c r="H35" s="319"/>
      <c r="I35" s="50" t="s">
        <v>19</v>
      </c>
    </row>
    <row r="36">
      <c r="A36" s="437" t="s">
        <v>74</v>
      </c>
      <c r="B36" s="438">
        <v>15.0</v>
      </c>
      <c r="C36" s="439" t="s">
        <v>375</v>
      </c>
      <c r="D36" s="438" t="s">
        <v>254</v>
      </c>
      <c r="E36" s="439">
        <v>2.0</v>
      </c>
      <c r="F36" s="439">
        <v>3.0</v>
      </c>
      <c r="G36" s="440" t="s">
        <v>48</v>
      </c>
      <c r="H36" s="306" t="s">
        <v>40</v>
      </c>
      <c r="I36" s="19" t="s">
        <v>48</v>
      </c>
    </row>
    <row r="37">
      <c r="A37" s="374" t="s">
        <v>312</v>
      </c>
      <c r="B37" s="132"/>
      <c r="C37" s="132"/>
      <c r="D37" s="375" t="s">
        <v>314</v>
      </c>
      <c r="E37" s="377">
        <f t="shared" ref="E37:F37" si="1">SUM(E8:E36)</f>
        <v>143</v>
      </c>
      <c r="F37" s="377">
        <f t="shared" si="1"/>
        <v>89</v>
      </c>
      <c r="G37" s="378"/>
      <c r="H37" s="274"/>
      <c r="I37" s="6"/>
    </row>
  </sheetData>
  <mergeCells count="5">
    <mergeCell ref="A5:G6"/>
    <mergeCell ref="A8:G8"/>
    <mergeCell ref="A13:G13"/>
    <mergeCell ref="A34:G34"/>
    <mergeCell ref="A37:C3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6.0"/>
    <col customWidth="1" min="2" max="2" width="2.75"/>
    <col customWidth="1" min="3" max="3" width="28.25"/>
    <col customWidth="1" min="4" max="4" width="39.0"/>
    <col customWidth="1" min="5" max="5" width="5.88"/>
    <col customWidth="1" min="6" max="6" width="3.5"/>
    <col customWidth="1" min="7" max="7" width="8.25"/>
    <col customWidth="1" min="8" max="8" width="7.63"/>
    <col customWidth="1" min="9" max="9" width="6.63"/>
  </cols>
  <sheetData>
    <row r="1">
      <c r="A1" s="264"/>
      <c r="B1" s="265"/>
      <c r="C1" s="266" t="s">
        <v>0</v>
      </c>
      <c r="D1" s="4" t="str">
        <f>COUNTIF(G8:G41,"W")&amp;"-"&amp;COUNTIF(G8:G41,"L")&amp;"-"&amp;COUNTIF(G8:G41,"T")&amp;"-"&amp;COUNTIF(G8:G41,"OTL")</f>
        <v>20-5-2-1</v>
      </c>
      <c r="E1" s="271"/>
      <c r="F1" s="271"/>
      <c r="G1" s="273"/>
      <c r="H1" s="274"/>
      <c r="I1" s="384"/>
    </row>
    <row r="2">
      <c r="A2" s="277"/>
      <c r="B2" s="280"/>
      <c r="C2" s="242" t="s">
        <v>1</v>
      </c>
      <c r="D2" s="10" t="str">
        <f>COUNTIF(I8:I41,"W")&amp;"-"&amp;COUNTIF(I8:I41,"L")&amp;"-"&amp;COUNTIF(I8:I41,"T")&amp;"-"&amp;COUNTIF(I8:I41,"OTL")</f>
        <v>14-1-0-1</v>
      </c>
      <c r="E2" s="286"/>
      <c r="F2" s="286"/>
      <c r="G2" s="287"/>
      <c r="H2" s="274"/>
      <c r="I2" s="389"/>
    </row>
    <row r="3">
      <c r="A3" s="288"/>
      <c r="B3" s="289"/>
      <c r="C3" s="290"/>
      <c r="D3" s="291" t="s">
        <v>2</v>
      </c>
      <c r="E3" s="295"/>
      <c r="F3" s="295"/>
      <c r="G3" s="296"/>
      <c r="H3" s="274"/>
      <c r="I3" s="389"/>
    </row>
    <row r="4">
      <c r="A4" s="299"/>
      <c r="B4" s="300"/>
      <c r="C4" s="301"/>
      <c r="D4" s="303"/>
      <c r="E4" s="304"/>
      <c r="F4" s="304"/>
      <c r="G4" s="305"/>
      <c r="H4" s="306" t="s">
        <v>3</v>
      </c>
      <c r="I4" s="395" t="s">
        <v>4</v>
      </c>
    </row>
    <row r="5">
      <c r="A5" s="382" t="s">
        <v>325</v>
      </c>
      <c r="B5" s="3"/>
      <c r="C5" s="3"/>
      <c r="D5" s="3"/>
      <c r="E5" s="3"/>
      <c r="F5" s="3"/>
      <c r="G5" s="5"/>
      <c r="H5" s="308"/>
      <c r="I5" s="389"/>
    </row>
    <row r="6">
      <c r="A6" s="310"/>
      <c r="B6" s="13"/>
      <c r="C6" s="13"/>
      <c r="D6" s="13"/>
      <c r="E6" s="13"/>
      <c r="F6" s="13"/>
      <c r="G6" s="14"/>
      <c r="H6" s="308"/>
      <c r="I6" s="389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274"/>
      <c r="I7" s="389"/>
    </row>
    <row r="8">
      <c r="A8" s="404" t="s">
        <v>245</v>
      </c>
      <c r="B8" s="406">
        <v>13.0</v>
      </c>
      <c r="C8" s="388" t="s">
        <v>330</v>
      </c>
      <c r="D8" s="323" t="s">
        <v>16</v>
      </c>
      <c r="E8" s="388">
        <v>5.0</v>
      </c>
      <c r="F8" s="388">
        <v>4.0</v>
      </c>
      <c r="G8" s="390" t="s">
        <v>19</v>
      </c>
      <c r="H8" s="274"/>
      <c r="I8" s="389"/>
    </row>
    <row r="9">
      <c r="A9" s="410" t="s">
        <v>245</v>
      </c>
      <c r="B9" s="413">
        <v>15.0</v>
      </c>
      <c r="C9" s="394" t="s">
        <v>292</v>
      </c>
      <c r="D9" s="330" t="s">
        <v>254</v>
      </c>
      <c r="E9" s="394">
        <v>3.0</v>
      </c>
      <c r="F9" s="394">
        <v>2.0</v>
      </c>
      <c r="G9" s="396" t="s">
        <v>19</v>
      </c>
      <c r="H9" s="274"/>
      <c r="I9" s="389"/>
    </row>
    <row r="10">
      <c r="A10" s="318" t="s">
        <v>178</v>
      </c>
      <c r="B10" s="132"/>
      <c r="C10" s="132"/>
      <c r="D10" s="132"/>
      <c r="E10" s="132"/>
      <c r="F10" s="132"/>
      <c r="G10" s="133"/>
      <c r="H10" s="319"/>
      <c r="I10" s="16"/>
    </row>
    <row r="11">
      <c r="A11" s="386" t="s">
        <v>245</v>
      </c>
      <c r="B11" s="323">
        <v>20.0</v>
      </c>
      <c r="C11" s="388" t="s">
        <v>287</v>
      </c>
      <c r="D11" s="323" t="s">
        <v>121</v>
      </c>
      <c r="E11" s="388">
        <v>5.0</v>
      </c>
      <c r="F11" s="388">
        <v>5.0</v>
      </c>
      <c r="G11" s="390" t="s">
        <v>73</v>
      </c>
      <c r="H11" s="274"/>
      <c r="I11" s="389"/>
    </row>
    <row r="12">
      <c r="A12" s="391" t="s">
        <v>245</v>
      </c>
      <c r="B12" s="326">
        <v>21.0</v>
      </c>
      <c r="C12" s="387" t="s">
        <v>285</v>
      </c>
      <c r="D12" s="326" t="s">
        <v>121</v>
      </c>
      <c r="E12" s="387">
        <v>3.0</v>
      </c>
      <c r="F12" s="387">
        <v>3.0</v>
      </c>
      <c r="G12" s="392" t="s">
        <v>73</v>
      </c>
      <c r="H12" s="319"/>
      <c r="I12" s="16"/>
    </row>
    <row r="13">
      <c r="A13" s="391" t="s">
        <v>245</v>
      </c>
      <c r="B13" s="326">
        <v>21.0</v>
      </c>
      <c r="C13" s="387" t="s">
        <v>250</v>
      </c>
      <c r="D13" s="326" t="s">
        <v>121</v>
      </c>
      <c r="E13" s="387">
        <v>5.0</v>
      </c>
      <c r="F13" s="387">
        <v>2.0</v>
      </c>
      <c r="G13" s="392" t="s">
        <v>19</v>
      </c>
      <c r="H13" s="319"/>
      <c r="I13" s="16"/>
    </row>
    <row r="14">
      <c r="A14" s="393" t="s">
        <v>245</v>
      </c>
      <c r="B14" s="330">
        <v>22.0</v>
      </c>
      <c r="C14" s="394" t="s">
        <v>317</v>
      </c>
      <c r="D14" s="330" t="s">
        <v>121</v>
      </c>
      <c r="E14" s="394">
        <v>2.0</v>
      </c>
      <c r="F14" s="394">
        <v>7.0</v>
      </c>
      <c r="G14" s="396" t="s">
        <v>26</v>
      </c>
      <c r="H14" s="319"/>
      <c r="I14" s="16"/>
    </row>
    <row r="15">
      <c r="A15" s="332"/>
      <c r="B15" s="132"/>
      <c r="C15" s="132"/>
      <c r="D15" s="132"/>
      <c r="E15" s="132"/>
      <c r="F15" s="132"/>
      <c r="G15" s="133"/>
      <c r="H15" s="319"/>
      <c r="I15" s="16"/>
    </row>
    <row r="16">
      <c r="A16" s="424" t="s">
        <v>17</v>
      </c>
      <c r="B16" s="425">
        <v>5.0</v>
      </c>
      <c r="C16" s="252" t="s">
        <v>206</v>
      </c>
      <c r="D16" s="426" t="s">
        <v>64</v>
      </c>
      <c r="E16" s="252">
        <v>6.0</v>
      </c>
      <c r="F16" s="252">
        <v>2.0</v>
      </c>
      <c r="G16" s="427" t="s">
        <v>19</v>
      </c>
      <c r="H16" s="319"/>
      <c r="I16" s="409" t="s">
        <v>19</v>
      </c>
    </row>
    <row r="17">
      <c r="A17" s="428" t="s">
        <v>17</v>
      </c>
      <c r="B17" s="429">
        <v>6.0</v>
      </c>
      <c r="C17" s="430" t="s">
        <v>351</v>
      </c>
      <c r="D17" s="431" t="s">
        <v>353</v>
      </c>
      <c r="E17" s="432"/>
      <c r="F17" s="432"/>
      <c r="G17" s="433" t="s">
        <v>141</v>
      </c>
      <c r="H17" s="319"/>
      <c r="I17" s="16"/>
    </row>
    <row r="18">
      <c r="A18" s="405" t="s">
        <v>17</v>
      </c>
      <c r="B18" s="407">
        <v>12.0</v>
      </c>
      <c r="C18" s="408" t="s">
        <v>258</v>
      </c>
      <c r="D18" s="409" t="s">
        <v>259</v>
      </c>
      <c r="E18" s="408">
        <v>4.0</v>
      </c>
      <c r="F18" s="408">
        <v>0.0</v>
      </c>
      <c r="G18" s="411" t="s">
        <v>19</v>
      </c>
      <c r="H18" s="319"/>
      <c r="I18" s="409" t="s">
        <v>19</v>
      </c>
    </row>
    <row r="19">
      <c r="A19" s="405" t="s">
        <v>17</v>
      </c>
      <c r="B19" s="407">
        <v>13.0</v>
      </c>
      <c r="C19" s="408" t="s">
        <v>339</v>
      </c>
      <c r="D19" s="409" t="s">
        <v>16</v>
      </c>
      <c r="E19" s="408">
        <v>3.0</v>
      </c>
      <c r="F19" s="408">
        <v>2.0</v>
      </c>
      <c r="G19" s="411" t="s">
        <v>19</v>
      </c>
      <c r="H19" s="338" t="s">
        <v>40</v>
      </c>
      <c r="I19" s="409" t="s">
        <v>19</v>
      </c>
    </row>
    <row r="20">
      <c r="A20" s="391" t="s">
        <v>263</v>
      </c>
      <c r="B20" s="421">
        <v>18.0</v>
      </c>
      <c r="C20" s="387" t="s">
        <v>364</v>
      </c>
      <c r="D20" s="326" t="s">
        <v>16</v>
      </c>
      <c r="E20" s="387">
        <v>2.0</v>
      </c>
      <c r="F20" s="387">
        <v>9.0</v>
      </c>
      <c r="G20" s="392" t="s">
        <v>26</v>
      </c>
      <c r="H20" s="319"/>
      <c r="I20" s="16"/>
    </row>
    <row r="21">
      <c r="A21" s="391" t="s">
        <v>263</v>
      </c>
      <c r="B21" s="421">
        <v>20.0</v>
      </c>
      <c r="C21" s="387" t="s">
        <v>366</v>
      </c>
      <c r="D21" s="326" t="s">
        <v>16</v>
      </c>
      <c r="E21" s="387">
        <v>6.0</v>
      </c>
      <c r="F21" s="387">
        <v>5.0</v>
      </c>
      <c r="G21" s="392" t="s">
        <v>19</v>
      </c>
      <c r="H21" s="338" t="s">
        <v>302</v>
      </c>
      <c r="I21" s="16"/>
    </row>
    <row r="22">
      <c r="A22" s="391" t="s">
        <v>263</v>
      </c>
      <c r="B22" s="421">
        <v>26.0</v>
      </c>
      <c r="C22" s="387" t="s">
        <v>225</v>
      </c>
      <c r="D22" s="326" t="s">
        <v>333</v>
      </c>
      <c r="E22" s="387">
        <v>0.0</v>
      </c>
      <c r="F22" s="387">
        <v>10.0</v>
      </c>
      <c r="G22" s="392" t="s">
        <v>26</v>
      </c>
      <c r="H22" s="319"/>
      <c r="I22" s="16"/>
    </row>
    <row r="23">
      <c r="A23" s="391" t="s">
        <v>263</v>
      </c>
      <c r="B23" s="421">
        <v>27.0</v>
      </c>
      <c r="C23" s="387" t="s">
        <v>370</v>
      </c>
      <c r="D23" s="326" t="s">
        <v>16</v>
      </c>
      <c r="E23" s="387">
        <v>11.0</v>
      </c>
      <c r="F23" s="387">
        <v>2.0</v>
      </c>
      <c r="G23" s="392" t="s">
        <v>19</v>
      </c>
      <c r="H23" s="319"/>
      <c r="I23" s="16"/>
    </row>
    <row r="24">
      <c r="A24" s="428" t="s">
        <v>34</v>
      </c>
      <c r="B24" s="429">
        <v>1.0</v>
      </c>
      <c r="C24" s="430" t="s">
        <v>371</v>
      </c>
      <c r="D24" s="431" t="s">
        <v>372</v>
      </c>
      <c r="E24" s="432"/>
      <c r="F24" s="432"/>
      <c r="G24" s="433" t="s">
        <v>141</v>
      </c>
      <c r="H24" s="319"/>
      <c r="I24" s="16"/>
    </row>
    <row r="25">
      <c r="A25" s="405" t="s">
        <v>34</v>
      </c>
      <c r="B25" s="407">
        <v>3.0</v>
      </c>
      <c r="C25" s="408" t="s">
        <v>352</v>
      </c>
      <c r="D25" s="409" t="s">
        <v>16</v>
      </c>
      <c r="E25" s="408">
        <v>16.0</v>
      </c>
      <c r="F25" s="408">
        <v>2.0</v>
      </c>
      <c r="G25" s="411" t="s">
        <v>19</v>
      </c>
      <c r="H25" s="319"/>
      <c r="I25" s="409" t="s">
        <v>19</v>
      </c>
    </row>
    <row r="26">
      <c r="A26" s="405" t="s">
        <v>34</v>
      </c>
      <c r="B26" s="407">
        <v>8.0</v>
      </c>
      <c r="C26" s="408" t="s">
        <v>338</v>
      </c>
      <c r="D26" s="409" t="s">
        <v>16</v>
      </c>
      <c r="E26" s="408">
        <v>6.0</v>
      </c>
      <c r="F26" s="408">
        <v>9.0</v>
      </c>
      <c r="G26" s="411" t="s">
        <v>26</v>
      </c>
      <c r="H26" s="319"/>
      <c r="I26" s="409" t="s">
        <v>26</v>
      </c>
    </row>
    <row r="27">
      <c r="A27" s="391" t="s">
        <v>277</v>
      </c>
      <c r="B27" s="421">
        <v>10.0</v>
      </c>
      <c r="C27" s="387" t="s">
        <v>186</v>
      </c>
      <c r="D27" s="326" t="s">
        <v>363</v>
      </c>
      <c r="E27" s="387">
        <v>1.0</v>
      </c>
      <c r="F27" s="387">
        <v>9.0</v>
      </c>
      <c r="G27" s="392" t="s">
        <v>26</v>
      </c>
      <c r="H27" s="319"/>
      <c r="I27" s="16"/>
    </row>
    <row r="28">
      <c r="A28" s="405" t="s">
        <v>34</v>
      </c>
      <c r="B28" s="407">
        <v>16.0</v>
      </c>
      <c r="C28" s="408" t="s">
        <v>248</v>
      </c>
      <c r="D28" s="409" t="s">
        <v>16</v>
      </c>
      <c r="E28" s="408">
        <v>3.0</v>
      </c>
      <c r="F28" s="408">
        <v>4.0</v>
      </c>
      <c r="G28" s="411" t="s">
        <v>48</v>
      </c>
      <c r="H28" s="338" t="s">
        <v>40</v>
      </c>
      <c r="I28" s="409" t="s">
        <v>48</v>
      </c>
    </row>
    <row r="29">
      <c r="A29" s="405" t="s">
        <v>34</v>
      </c>
      <c r="B29" s="407">
        <v>22.0</v>
      </c>
      <c r="C29" s="408" t="s">
        <v>266</v>
      </c>
      <c r="D29" s="409" t="s">
        <v>267</v>
      </c>
      <c r="E29" s="408">
        <v>9.0</v>
      </c>
      <c r="F29" s="408">
        <v>2.0</v>
      </c>
      <c r="G29" s="411" t="s">
        <v>19</v>
      </c>
      <c r="H29" s="319"/>
      <c r="I29" s="409" t="s">
        <v>19</v>
      </c>
    </row>
    <row r="30">
      <c r="A30" s="405" t="s">
        <v>61</v>
      </c>
      <c r="B30" s="407">
        <v>6.0</v>
      </c>
      <c r="C30" s="408" t="s">
        <v>345</v>
      </c>
      <c r="D30" s="409" t="s">
        <v>16</v>
      </c>
      <c r="E30" s="408">
        <v>4.0</v>
      </c>
      <c r="F30" s="408">
        <v>3.0</v>
      </c>
      <c r="G30" s="411" t="s">
        <v>19</v>
      </c>
      <c r="H30" s="319"/>
      <c r="I30" s="409" t="s">
        <v>19</v>
      </c>
    </row>
    <row r="31">
      <c r="A31" s="405" t="s">
        <v>68</v>
      </c>
      <c r="B31" s="407">
        <v>18.0</v>
      </c>
      <c r="C31" s="408" t="s">
        <v>365</v>
      </c>
      <c r="D31" s="409" t="s">
        <v>16</v>
      </c>
      <c r="E31" s="408">
        <v>10.0</v>
      </c>
      <c r="F31" s="408">
        <v>5.0</v>
      </c>
      <c r="G31" s="411" t="s">
        <v>19</v>
      </c>
      <c r="H31" s="319"/>
      <c r="I31" s="409" t="s">
        <v>19</v>
      </c>
    </row>
    <row r="32">
      <c r="A32" s="405" t="s">
        <v>68</v>
      </c>
      <c r="B32" s="407">
        <v>19.0</v>
      </c>
      <c r="C32" s="408" t="s">
        <v>379</v>
      </c>
      <c r="D32" s="409" t="s">
        <v>348</v>
      </c>
      <c r="E32" s="408">
        <v>6.0</v>
      </c>
      <c r="F32" s="408">
        <v>3.0</v>
      </c>
      <c r="G32" s="411" t="s">
        <v>19</v>
      </c>
      <c r="H32" s="319"/>
      <c r="I32" s="409" t="s">
        <v>19</v>
      </c>
    </row>
    <row r="33">
      <c r="A33" s="405" t="s">
        <v>68</v>
      </c>
      <c r="B33" s="407">
        <v>24.0</v>
      </c>
      <c r="C33" s="408" t="s">
        <v>356</v>
      </c>
      <c r="D33" s="409" t="s">
        <v>357</v>
      </c>
      <c r="E33" s="408">
        <v>10.0</v>
      </c>
      <c r="F33" s="408">
        <v>0.0</v>
      </c>
      <c r="G33" s="411" t="s">
        <v>19</v>
      </c>
      <c r="H33" s="319"/>
      <c r="I33" s="409" t="s">
        <v>19</v>
      </c>
    </row>
    <row r="34">
      <c r="A34" s="405" t="s">
        <v>68</v>
      </c>
      <c r="B34" s="407">
        <v>25.0</v>
      </c>
      <c r="C34" s="408" t="s">
        <v>253</v>
      </c>
      <c r="D34" s="409" t="s">
        <v>254</v>
      </c>
      <c r="E34" s="408">
        <v>7.0</v>
      </c>
      <c r="F34" s="408">
        <v>4.0</v>
      </c>
      <c r="G34" s="411" t="s">
        <v>19</v>
      </c>
      <c r="H34" s="319"/>
      <c r="I34" s="409" t="s">
        <v>19</v>
      </c>
    </row>
    <row r="35">
      <c r="A35" s="405" t="s">
        <v>68</v>
      </c>
      <c r="B35" s="407">
        <v>31.0</v>
      </c>
      <c r="C35" s="408" t="s">
        <v>380</v>
      </c>
      <c r="D35" s="409" t="s">
        <v>16</v>
      </c>
      <c r="E35" s="408">
        <v>3.0</v>
      </c>
      <c r="F35" s="408">
        <v>2.0</v>
      </c>
      <c r="G35" s="411" t="s">
        <v>19</v>
      </c>
      <c r="H35" s="319"/>
      <c r="I35" s="409" t="s">
        <v>19</v>
      </c>
    </row>
    <row r="36">
      <c r="A36" s="405" t="s">
        <v>74</v>
      </c>
      <c r="B36" s="407">
        <v>7.0</v>
      </c>
      <c r="C36" s="408" t="s">
        <v>381</v>
      </c>
      <c r="D36" s="409" t="s">
        <v>16</v>
      </c>
      <c r="E36" s="18"/>
      <c r="F36" s="18"/>
      <c r="G36" s="411" t="s">
        <v>19</v>
      </c>
      <c r="H36" s="338" t="s">
        <v>265</v>
      </c>
      <c r="I36" s="409" t="s">
        <v>19</v>
      </c>
    </row>
    <row r="37">
      <c r="A37" s="391" t="s">
        <v>382</v>
      </c>
      <c r="B37" s="421">
        <v>8.0</v>
      </c>
      <c r="C37" s="387" t="s">
        <v>319</v>
      </c>
      <c r="D37" s="326" t="s">
        <v>267</v>
      </c>
      <c r="E37" s="387">
        <v>13.0</v>
      </c>
      <c r="F37" s="387">
        <v>4.0</v>
      </c>
      <c r="G37" s="392" t="s">
        <v>19</v>
      </c>
      <c r="H37" s="319"/>
      <c r="I37" s="16"/>
    </row>
    <row r="38" ht="8.25" customHeight="1">
      <c r="A38" s="365"/>
      <c r="B38" s="367"/>
      <c r="C38" s="369"/>
      <c r="D38" s="367"/>
      <c r="E38" s="369"/>
      <c r="F38" s="369"/>
      <c r="G38" s="371"/>
      <c r="H38" s="274"/>
      <c r="I38" s="389"/>
    </row>
    <row r="39">
      <c r="A39" s="366" t="s">
        <v>384</v>
      </c>
      <c r="B39" s="13"/>
      <c r="C39" s="13"/>
      <c r="D39" s="13"/>
      <c r="E39" s="13"/>
      <c r="F39" s="13"/>
      <c r="G39" s="14"/>
      <c r="H39" s="368"/>
      <c r="I39" s="16"/>
    </row>
    <row r="40">
      <c r="A40" s="424" t="s">
        <v>74</v>
      </c>
      <c r="B40" s="426">
        <v>15.0</v>
      </c>
      <c r="C40" s="252" t="s">
        <v>373</v>
      </c>
      <c r="D40" s="426" t="s">
        <v>254</v>
      </c>
      <c r="E40" s="252">
        <v>8.0</v>
      </c>
      <c r="F40" s="252">
        <v>2.0</v>
      </c>
      <c r="G40" s="427" t="s">
        <v>19</v>
      </c>
      <c r="H40" s="319"/>
      <c r="I40" s="409" t="s">
        <v>19</v>
      </c>
    </row>
    <row r="41">
      <c r="A41" s="437" t="s">
        <v>74</v>
      </c>
      <c r="B41" s="438">
        <v>16.0</v>
      </c>
      <c r="C41" s="445" t="s">
        <v>386</v>
      </c>
      <c r="D41" s="438" t="s">
        <v>254</v>
      </c>
      <c r="E41" s="439">
        <v>5.0</v>
      </c>
      <c r="F41" s="439">
        <v>4.0</v>
      </c>
      <c r="G41" s="440" t="s">
        <v>19</v>
      </c>
      <c r="H41" s="274"/>
      <c r="I41" s="447" t="s">
        <v>19</v>
      </c>
    </row>
    <row r="42">
      <c r="A42" s="374" t="s">
        <v>312</v>
      </c>
      <c r="B42" s="132"/>
      <c r="C42" s="132"/>
      <c r="D42" s="375" t="s">
        <v>314</v>
      </c>
      <c r="E42" s="377">
        <f t="shared" ref="E42:F42" si="1">SUM(E8:E41)</f>
        <v>156</v>
      </c>
      <c r="F42" s="377">
        <f t="shared" si="1"/>
        <v>106</v>
      </c>
      <c r="G42" s="378"/>
      <c r="H42" s="274"/>
      <c r="I42" s="389"/>
    </row>
  </sheetData>
  <mergeCells count="5">
    <mergeCell ref="A5:G6"/>
    <mergeCell ref="A10:G10"/>
    <mergeCell ref="A15:G15"/>
    <mergeCell ref="A39:G39"/>
    <mergeCell ref="A42:C4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5.63"/>
    <col customWidth="1" min="2" max="2" width="3.63"/>
    <col customWidth="1" min="3" max="3" width="27.38"/>
    <col customWidth="1" min="4" max="4" width="39.5"/>
    <col customWidth="1" min="5" max="5" width="5.5"/>
    <col customWidth="1" min="6" max="6" width="3.88"/>
    <col customWidth="1" min="7" max="7" width="8.13"/>
    <col customWidth="1" min="8" max="8" width="7.75"/>
    <col customWidth="1" min="9" max="9" width="6.63"/>
  </cols>
  <sheetData>
    <row r="1">
      <c r="A1" s="264"/>
      <c r="B1" s="265"/>
      <c r="C1" s="266" t="s">
        <v>0</v>
      </c>
      <c r="D1" s="4" t="str">
        <f>COUNTIF(G5:G39,"W")&amp;"-"&amp;COUNTIF(G5:G39,"L")&amp;"-"&amp;COUNTIF(G5:G39,"T")&amp;"-"&amp;COUNTIF(G5:G39,"OTL")</f>
        <v>14-11-0-0</v>
      </c>
      <c r="E1" s="271"/>
      <c r="F1" s="271"/>
      <c r="G1" s="273"/>
      <c r="H1" s="383"/>
      <c r="I1" s="384"/>
    </row>
    <row r="2">
      <c r="A2" s="277"/>
      <c r="B2" s="280"/>
      <c r="C2" s="242" t="s">
        <v>1</v>
      </c>
      <c r="D2" s="10" t="str">
        <f>COUNTIF(I5:I39,"W")&amp;"-"&amp;COUNTIF(I5:I39,"L")&amp;"-"&amp;COUNTIF(I5:I39,"T")&amp;"-"&amp;COUNTIF(I5:I39,"OTL")</f>
        <v>12-5-0-0</v>
      </c>
      <c r="E2" s="286"/>
      <c r="F2" s="286"/>
      <c r="G2" s="287"/>
      <c r="H2" s="383"/>
      <c r="I2" s="389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389"/>
    </row>
    <row r="4">
      <c r="A4" s="299"/>
      <c r="B4" s="300"/>
      <c r="C4" s="301"/>
      <c r="D4" s="303"/>
      <c r="E4" s="304"/>
      <c r="F4" s="304"/>
      <c r="G4" s="305"/>
      <c r="H4" s="383"/>
      <c r="I4" s="395" t="s">
        <v>4</v>
      </c>
    </row>
    <row r="5">
      <c r="A5" s="382" t="s">
        <v>324</v>
      </c>
      <c r="B5" s="3"/>
      <c r="C5" s="3"/>
      <c r="D5" s="3"/>
      <c r="E5" s="3"/>
      <c r="F5" s="3"/>
      <c r="G5" s="5"/>
      <c r="H5" s="397"/>
      <c r="I5" s="389"/>
    </row>
    <row r="6">
      <c r="A6" s="310"/>
      <c r="B6" s="13"/>
      <c r="C6" s="13"/>
      <c r="D6" s="13"/>
      <c r="E6" s="13"/>
      <c r="F6" s="13"/>
      <c r="G6" s="14"/>
      <c r="H6" s="397"/>
      <c r="I6" s="389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389"/>
    </row>
    <row r="8">
      <c r="A8" s="318" t="s">
        <v>178</v>
      </c>
      <c r="B8" s="132"/>
      <c r="C8" s="132"/>
      <c r="D8" s="132"/>
      <c r="E8" s="132"/>
      <c r="F8" s="132"/>
      <c r="G8" s="133"/>
      <c r="H8" s="402"/>
      <c r="I8" s="16"/>
    </row>
    <row r="9">
      <c r="A9" s="386" t="s">
        <v>245</v>
      </c>
      <c r="B9" s="323">
        <v>21.0</v>
      </c>
      <c r="C9" s="388" t="s">
        <v>329</v>
      </c>
      <c r="D9" s="323" t="s">
        <v>121</v>
      </c>
      <c r="E9" s="388">
        <v>7.0</v>
      </c>
      <c r="F9" s="388">
        <v>0.0</v>
      </c>
      <c r="G9" s="390" t="s">
        <v>19</v>
      </c>
      <c r="H9" s="383"/>
      <c r="I9" s="389"/>
    </row>
    <row r="10">
      <c r="A10" s="391" t="s">
        <v>245</v>
      </c>
      <c r="B10" s="326">
        <v>22.0</v>
      </c>
      <c r="C10" s="387" t="s">
        <v>250</v>
      </c>
      <c r="D10" s="326" t="s">
        <v>121</v>
      </c>
      <c r="E10" s="387">
        <v>10.0</v>
      </c>
      <c r="F10" s="387">
        <v>0.0</v>
      </c>
      <c r="G10" s="392" t="s">
        <v>19</v>
      </c>
      <c r="H10" s="402"/>
      <c r="I10" s="16"/>
    </row>
    <row r="11">
      <c r="A11" s="391" t="s">
        <v>245</v>
      </c>
      <c r="B11" s="326">
        <v>22.0</v>
      </c>
      <c r="C11" s="387" t="s">
        <v>317</v>
      </c>
      <c r="D11" s="326" t="s">
        <v>121</v>
      </c>
      <c r="E11" s="387">
        <v>2.0</v>
      </c>
      <c r="F11" s="387">
        <v>8.0</v>
      </c>
      <c r="G11" s="392" t="s">
        <v>26</v>
      </c>
      <c r="H11" s="402"/>
      <c r="I11" s="16"/>
    </row>
    <row r="12">
      <c r="A12" s="393" t="s">
        <v>245</v>
      </c>
      <c r="B12" s="330">
        <v>23.0</v>
      </c>
      <c r="C12" s="394" t="s">
        <v>287</v>
      </c>
      <c r="D12" s="330" t="s">
        <v>121</v>
      </c>
      <c r="E12" s="394">
        <v>1.0</v>
      </c>
      <c r="F12" s="394">
        <v>6.0</v>
      </c>
      <c r="G12" s="396" t="s">
        <v>26</v>
      </c>
      <c r="H12" s="402"/>
      <c r="I12" s="16"/>
    </row>
    <row r="13">
      <c r="A13" s="332"/>
      <c r="B13" s="132"/>
      <c r="C13" s="132"/>
      <c r="D13" s="132"/>
      <c r="E13" s="132"/>
      <c r="F13" s="132"/>
      <c r="G13" s="133"/>
      <c r="H13" s="402"/>
      <c r="I13" s="16"/>
    </row>
    <row r="14">
      <c r="A14" s="386" t="s">
        <v>245</v>
      </c>
      <c r="B14" s="412">
        <v>28.0</v>
      </c>
      <c r="C14" s="388" t="s">
        <v>331</v>
      </c>
      <c r="D14" s="323" t="s">
        <v>16</v>
      </c>
      <c r="E14" s="388" t="s">
        <v>221</v>
      </c>
      <c r="F14" s="416"/>
      <c r="G14" s="417"/>
      <c r="H14" s="402"/>
      <c r="I14" s="16"/>
    </row>
    <row r="15">
      <c r="A15" s="405" t="s">
        <v>17</v>
      </c>
      <c r="B15" s="407">
        <v>6.0</v>
      </c>
      <c r="C15" s="408" t="s">
        <v>225</v>
      </c>
      <c r="D15" s="409" t="s">
        <v>334</v>
      </c>
      <c r="E15" s="408">
        <v>3.0</v>
      </c>
      <c r="F15" s="408">
        <v>6.0</v>
      </c>
      <c r="G15" s="411" t="s">
        <v>26</v>
      </c>
      <c r="H15" s="402"/>
      <c r="I15" s="409" t="s">
        <v>26</v>
      </c>
    </row>
    <row r="16">
      <c r="A16" s="391" t="s">
        <v>263</v>
      </c>
      <c r="B16" s="421">
        <v>7.0</v>
      </c>
      <c r="C16" s="387" t="s">
        <v>331</v>
      </c>
      <c r="D16" s="326" t="s">
        <v>16</v>
      </c>
      <c r="E16" s="387">
        <v>1.0</v>
      </c>
      <c r="F16" s="387">
        <v>3.0</v>
      </c>
      <c r="G16" s="392" t="s">
        <v>26</v>
      </c>
      <c r="H16" s="402"/>
      <c r="I16" s="16"/>
    </row>
    <row r="17">
      <c r="A17" s="391" t="s">
        <v>263</v>
      </c>
      <c r="B17" s="421">
        <v>13.0</v>
      </c>
      <c r="C17" s="387" t="s">
        <v>335</v>
      </c>
      <c r="D17" s="326" t="s">
        <v>218</v>
      </c>
      <c r="E17" s="387">
        <v>1.0</v>
      </c>
      <c r="F17" s="387">
        <v>6.0</v>
      </c>
      <c r="G17" s="392" t="s">
        <v>26</v>
      </c>
      <c r="H17" s="402"/>
      <c r="I17" s="16"/>
    </row>
    <row r="18">
      <c r="A18" s="405" t="s">
        <v>17</v>
      </c>
      <c r="B18" s="407">
        <v>14.0</v>
      </c>
      <c r="C18" s="408" t="s">
        <v>338</v>
      </c>
      <c r="D18" s="409" t="s">
        <v>16</v>
      </c>
      <c r="E18" s="408">
        <v>7.0</v>
      </c>
      <c r="F18" s="408">
        <v>4.0</v>
      </c>
      <c r="G18" s="411" t="s">
        <v>19</v>
      </c>
      <c r="H18" s="402"/>
      <c r="I18" s="409" t="s">
        <v>19</v>
      </c>
    </row>
    <row r="19">
      <c r="A19" s="405" t="s">
        <v>17</v>
      </c>
      <c r="B19" s="407">
        <v>19.0</v>
      </c>
      <c r="C19" s="408" t="s">
        <v>339</v>
      </c>
      <c r="D19" s="409" t="s">
        <v>16</v>
      </c>
      <c r="E19" s="408">
        <v>13.0</v>
      </c>
      <c r="F19" s="408">
        <v>2.0</v>
      </c>
      <c r="G19" s="411" t="s">
        <v>19</v>
      </c>
      <c r="H19" s="402"/>
      <c r="I19" s="409" t="s">
        <v>19</v>
      </c>
    </row>
    <row r="20">
      <c r="A20" s="391" t="s">
        <v>263</v>
      </c>
      <c r="B20" s="421">
        <v>21.0</v>
      </c>
      <c r="C20" s="387" t="s">
        <v>341</v>
      </c>
      <c r="D20" s="326" t="s">
        <v>16</v>
      </c>
      <c r="E20" s="387" t="s">
        <v>221</v>
      </c>
      <c r="F20" s="422"/>
      <c r="G20" s="423"/>
      <c r="H20" s="402"/>
      <c r="I20" s="16"/>
    </row>
    <row r="21">
      <c r="A21" s="391" t="s">
        <v>277</v>
      </c>
      <c r="B21" s="421">
        <v>3.0</v>
      </c>
      <c r="C21" s="387" t="s">
        <v>166</v>
      </c>
      <c r="D21" s="326" t="s">
        <v>344</v>
      </c>
      <c r="E21" s="387" t="s">
        <v>221</v>
      </c>
      <c r="F21" s="422"/>
      <c r="G21" s="423"/>
      <c r="H21" s="402"/>
      <c r="I21" s="16"/>
    </row>
    <row r="22">
      <c r="A22" s="405" t="s">
        <v>34</v>
      </c>
      <c r="B22" s="407">
        <v>9.0</v>
      </c>
      <c r="C22" s="255" t="s">
        <v>345</v>
      </c>
      <c r="D22" s="409" t="s">
        <v>16</v>
      </c>
      <c r="E22" s="408">
        <v>12.0</v>
      </c>
      <c r="F22" s="408">
        <v>1.0</v>
      </c>
      <c r="G22" s="411" t="s">
        <v>19</v>
      </c>
      <c r="H22" s="402"/>
      <c r="I22" s="409" t="s">
        <v>19</v>
      </c>
    </row>
    <row r="23">
      <c r="A23" s="405" t="s">
        <v>34</v>
      </c>
      <c r="B23" s="407">
        <v>10.0</v>
      </c>
      <c r="C23" s="408" t="s">
        <v>347</v>
      </c>
      <c r="D23" s="409" t="s">
        <v>348</v>
      </c>
      <c r="E23" s="408">
        <v>3.0</v>
      </c>
      <c r="F23" s="408">
        <v>5.0</v>
      </c>
      <c r="G23" s="411" t="s">
        <v>26</v>
      </c>
      <c r="H23" s="402"/>
      <c r="I23" s="409" t="s">
        <v>26</v>
      </c>
    </row>
    <row r="24">
      <c r="A24" s="405" t="s">
        <v>34</v>
      </c>
      <c r="B24" s="407">
        <v>16.0</v>
      </c>
      <c r="C24" s="408" t="s">
        <v>266</v>
      </c>
      <c r="D24" s="409" t="s">
        <v>334</v>
      </c>
      <c r="E24" s="408">
        <v>2.0</v>
      </c>
      <c r="F24" s="408">
        <v>3.0</v>
      </c>
      <c r="G24" s="411" t="s">
        <v>26</v>
      </c>
      <c r="H24" s="402"/>
      <c r="I24" s="409" t="s">
        <v>26</v>
      </c>
    </row>
    <row r="25">
      <c r="A25" s="405" t="s">
        <v>61</v>
      </c>
      <c r="B25" s="407">
        <v>1.0</v>
      </c>
      <c r="C25" s="408" t="s">
        <v>248</v>
      </c>
      <c r="D25" s="409" t="s">
        <v>350</v>
      </c>
      <c r="E25" s="408">
        <v>8.0</v>
      </c>
      <c r="F25" s="408">
        <v>2.0</v>
      </c>
      <c r="G25" s="411" t="s">
        <v>19</v>
      </c>
      <c r="H25" s="402"/>
      <c r="I25" s="409" t="s">
        <v>19</v>
      </c>
    </row>
    <row r="26">
      <c r="A26" s="405" t="s">
        <v>61</v>
      </c>
      <c r="B26" s="407">
        <v>5.0</v>
      </c>
      <c r="C26" s="408" t="s">
        <v>352</v>
      </c>
      <c r="D26" s="409" t="s">
        <v>16</v>
      </c>
      <c r="E26" s="408">
        <v>15.0</v>
      </c>
      <c r="F26" s="408">
        <v>2.0</v>
      </c>
      <c r="G26" s="411" t="s">
        <v>19</v>
      </c>
      <c r="H26" s="402"/>
      <c r="I26" s="409" t="s">
        <v>19</v>
      </c>
    </row>
    <row r="27">
      <c r="A27" s="405" t="s">
        <v>61</v>
      </c>
      <c r="B27" s="407">
        <v>7.0</v>
      </c>
      <c r="C27" s="408" t="s">
        <v>274</v>
      </c>
      <c r="D27" s="409" t="s">
        <v>354</v>
      </c>
      <c r="E27" s="408">
        <v>12.0</v>
      </c>
      <c r="F27" s="408">
        <v>3.0</v>
      </c>
      <c r="G27" s="411" t="s">
        <v>19</v>
      </c>
      <c r="H27" s="402"/>
      <c r="I27" s="409" t="s">
        <v>19</v>
      </c>
    </row>
    <row r="28">
      <c r="A28" s="405" t="s">
        <v>61</v>
      </c>
      <c r="B28" s="407">
        <v>8.0</v>
      </c>
      <c r="C28" s="408" t="s">
        <v>356</v>
      </c>
      <c r="D28" s="409" t="s">
        <v>357</v>
      </c>
      <c r="E28" s="408">
        <v>17.0</v>
      </c>
      <c r="F28" s="408">
        <v>0.0</v>
      </c>
      <c r="G28" s="411" t="s">
        <v>19</v>
      </c>
      <c r="H28" s="402"/>
      <c r="I28" s="409" t="s">
        <v>19</v>
      </c>
    </row>
    <row r="29">
      <c r="A29" s="391" t="s">
        <v>298</v>
      </c>
      <c r="B29" s="421">
        <v>19.0</v>
      </c>
      <c r="C29" s="387" t="s">
        <v>358</v>
      </c>
      <c r="D29" s="326" t="s">
        <v>16</v>
      </c>
      <c r="E29" s="387">
        <v>6.0</v>
      </c>
      <c r="F29" s="387">
        <v>7.0</v>
      </c>
      <c r="G29" s="392" t="s">
        <v>26</v>
      </c>
      <c r="H29" s="402"/>
      <c r="I29" s="16"/>
    </row>
    <row r="30">
      <c r="A30" s="405" t="s">
        <v>68</v>
      </c>
      <c r="B30" s="407">
        <v>25.0</v>
      </c>
      <c r="C30" s="408" t="s">
        <v>361</v>
      </c>
      <c r="D30" s="409" t="s">
        <v>16</v>
      </c>
      <c r="E30" s="408">
        <v>5.0</v>
      </c>
      <c r="F30" s="408">
        <v>2.0</v>
      </c>
      <c r="G30" s="411" t="s">
        <v>19</v>
      </c>
      <c r="H30" s="402"/>
      <c r="I30" s="409" t="s">
        <v>19</v>
      </c>
    </row>
    <row r="31">
      <c r="A31" s="391" t="s">
        <v>298</v>
      </c>
      <c r="B31" s="421">
        <v>26.0</v>
      </c>
      <c r="C31" s="387" t="s">
        <v>186</v>
      </c>
      <c r="D31" s="326" t="s">
        <v>363</v>
      </c>
      <c r="E31" s="387">
        <v>1.0</v>
      </c>
      <c r="F31" s="387">
        <v>5.0</v>
      </c>
      <c r="G31" s="392" t="s">
        <v>26</v>
      </c>
      <c r="H31" s="402"/>
      <c r="I31" s="16"/>
    </row>
    <row r="32">
      <c r="A32" s="405" t="s">
        <v>68</v>
      </c>
      <c r="B32" s="407">
        <v>30.0</v>
      </c>
      <c r="C32" s="408" t="s">
        <v>365</v>
      </c>
      <c r="D32" s="409" t="s">
        <v>16</v>
      </c>
      <c r="E32" s="408">
        <v>9.0</v>
      </c>
      <c r="F32" s="408">
        <v>1.0</v>
      </c>
      <c r="G32" s="411" t="s">
        <v>19</v>
      </c>
      <c r="H32" s="402"/>
      <c r="I32" s="409" t="s">
        <v>19</v>
      </c>
    </row>
    <row r="33">
      <c r="A33" s="405" t="s">
        <v>74</v>
      </c>
      <c r="B33" s="407">
        <v>1.0</v>
      </c>
      <c r="C33" s="408" t="s">
        <v>366</v>
      </c>
      <c r="D33" s="409" t="s">
        <v>16</v>
      </c>
      <c r="E33" s="408">
        <v>1.0</v>
      </c>
      <c r="F33" s="408">
        <v>4.0</v>
      </c>
      <c r="G33" s="411" t="s">
        <v>26</v>
      </c>
      <c r="H33" s="402"/>
      <c r="I33" s="409" t="s">
        <v>26</v>
      </c>
    </row>
    <row r="34">
      <c r="A34" s="405" t="s">
        <v>367</v>
      </c>
      <c r="B34" s="407">
        <v>2.0</v>
      </c>
      <c r="C34" s="408" t="s">
        <v>206</v>
      </c>
      <c r="D34" s="409" t="s">
        <v>368</v>
      </c>
      <c r="E34" s="408">
        <v>1.0</v>
      </c>
      <c r="F34" s="408">
        <v>0.0</v>
      </c>
      <c r="G34" s="411" t="s">
        <v>19</v>
      </c>
      <c r="H34" s="402"/>
      <c r="I34" s="409" t="s">
        <v>19</v>
      </c>
    </row>
    <row r="35">
      <c r="A35" s="405" t="s">
        <v>74</v>
      </c>
      <c r="B35" s="407">
        <v>13.0</v>
      </c>
      <c r="C35" s="408" t="s">
        <v>356</v>
      </c>
      <c r="D35" s="409" t="s">
        <v>357</v>
      </c>
      <c r="E35" s="408">
        <v>16.0</v>
      </c>
      <c r="F35" s="408">
        <v>3.0</v>
      </c>
      <c r="G35" s="411" t="s">
        <v>19</v>
      </c>
      <c r="H35" s="402"/>
      <c r="I35" s="409" t="s">
        <v>19</v>
      </c>
    </row>
    <row r="36">
      <c r="A36" s="435" t="s">
        <v>74</v>
      </c>
      <c r="B36" s="436">
        <v>15.0</v>
      </c>
      <c r="C36" s="360" t="s">
        <v>258</v>
      </c>
      <c r="D36" s="438" t="s">
        <v>374</v>
      </c>
      <c r="E36" s="439">
        <v>7.0</v>
      </c>
      <c r="F36" s="439">
        <v>5.0</v>
      </c>
      <c r="G36" s="440" t="s">
        <v>19</v>
      </c>
      <c r="H36" s="402"/>
      <c r="I36" s="409" t="s">
        <v>19</v>
      </c>
    </row>
    <row r="37">
      <c r="A37" s="365"/>
      <c r="B37" s="367"/>
      <c r="C37" s="369"/>
      <c r="D37" s="367"/>
      <c r="E37" s="369"/>
      <c r="F37" s="369"/>
      <c r="G37" s="371"/>
      <c r="H37" s="383"/>
      <c r="I37" s="389"/>
    </row>
    <row r="38" ht="15.75" customHeight="1">
      <c r="A38" s="434" t="s">
        <v>377</v>
      </c>
      <c r="B38" s="13"/>
      <c r="C38" s="13"/>
      <c r="D38" s="13"/>
      <c r="E38" s="13"/>
      <c r="F38" s="13"/>
      <c r="G38" s="14"/>
      <c r="H38" s="441"/>
      <c r="I38" s="16"/>
    </row>
    <row r="39">
      <c r="A39" s="442" t="s">
        <v>74</v>
      </c>
      <c r="B39" s="443">
        <v>17.0</v>
      </c>
      <c r="C39" s="314" t="s">
        <v>225</v>
      </c>
      <c r="D39" s="443" t="s">
        <v>254</v>
      </c>
      <c r="E39" s="314">
        <v>1.0</v>
      </c>
      <c r="F39" s="314">
        <v>8.0</v>
      </c>
      <c r="G39" s="444" t="s">
        <v>26</v>
      </c>
      <c r="H39" s="402"/>
      <c r="I39" s="409" t="s">
        <v>26</v>
      </c>
    </row>
    <row r="40">
      <c r="A40" s="374" t="s">
        <v>312</v>
      </c>
      <c r="B40" s="132"/>
      <c r="C40" s="132"/>
      <c r="D40" s="375" t="s">
        <v>314</v>
      </c>
      <c r="E40" s="377">
        <f t="shared" ref="E40:F40" si="1">SUM(E9:E39)</f>
        <v>161</v>
      </c>
      <c r="F40" s="377">
        <f t="shared" si="1"/>
        <v>86</v>
      </c>
      <c r="G40" s="378"/>
      <c r="H40" s="383"/>
      <c r="I40" s="389"/>
    </row>
  </sheetData>
  <mergeCells count="5">
    <mergeCell ref="A5:G6"/>
    <mergeCell ref="A8:G8"/>
    <mergeCell ref="A13:G13"/>
    <mergeCell ref="A38:G38"/>
    <mergeCell ref="A40:C4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6.5"/>
    <col customWidth="1" min="2" max="2" width="3.63"/>
    <col customWidth="1" min="3" max="3" width="24.13"/>
    <col customWidth="1" min="4" max="4" width="41.88"/>
    <col customWidth="1" min="5" max="5" width="5.38"/>
    <col customWidth="1" min="6" max="6" width="4.38"/>
    <col customWidth="1" min="7" max="7" width="7.5"/>
    <col customWidth="1" min="8" max="8" width="7.75"/>
    <col customWidth="1" min="9" max="9" width="6.63"/>
  </cols>
  <sheetData>
    <row r="1">
      <c r="A1" s="264"/>
      <c r="B1" s="265"/>
      <c r="C1" s="266" t="s">
        <v>0</v>
      </c>
      <c r="D1" s="4" t="str">
        <f>COUNTIF(G5:G38,"W")&amp;"-"&amp;COUNTIF(G5:G38,"L")&amp;"-"&amp;COUNTIF(G5:G38,"T")&amp;"-"&amp;COUNTIF(G5:G38,"OTL")</f>
        <v>19-5-1-0</v>
      </c>
      <c r="E1" s="271"/>
      <c r="F1" s="271"/>
      <c r="G1" s="273"/>
      <c r="H1" s="383"/>
      <c r="I1" s="384"/>
    </row>
    <row r="2">
      <c r="A2" s="277"/>
      <c r="B2" s="280"/>
      <c r="C2" s="242" t="s">
        <v>1</v>
      </c>
      <c r="D2" s="10" t="str">
        <f>COUNTIF(I5:I38,"W")&amp;"-"&amp;COUNTIF(I5:I38,"L")&amp;"-"&amp;COUNTIF(I5:I38,"T")&amp;"-"&amp;COUNTIF(I5:I38,"OTL")</f>
        <v>13-4-0-0</v>
      </c>
      <c r="E2" s="286"/>
      <c r="F2" s="286"/>
      <c r="G2" s="287"/>
      <c r="H2" s="383"/>
      <c r="I2" s="389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389"/>
    </row>
    <row r="4">
      <c r="A4" s="299"/>
      <c r="B4" s="300"/>
      <c r="C4" s="301"/>
      <c r="D4" s="303"/>
      <c r="E4" s="304"/>
      <c r="F4" s="304"/>
      <c r="G4" s="305"/>
      <c r="H4" s="383"/>
      <c r="I4" s="395" t="s">
        <v>4</v>
      </c>
    </row>
    <row r="5">
      <c r="A5" s="382" t="s">
        <v>376</v>
      </c>
      <c r="B5" s="3"/>
      <c r="C5" s="3"/>
      <c r="D5" s="3"/>
      <c r="E5" s="3"/>
      <c r="F5" s="3"/>
      <c r="G5" s="5"/>
      <c r="H5" s="397"/>
      <c r="I5" s="389"/>
    </row>
    <row r="6">
      <c r="A6" s="310"/>
      <c r="B6" s="13"/>
      <c r="C6" s="13"/>
      <c r="D6" s="13"/>
      <c r="E6" s="13"/>
      <c r="F6" s="13"/>
      <c r="G6" s="14"/>
      <c r="H6" s="397"/>
      <c r="I6" s="389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389"/>
    </row>
    <row r="8">
      <c r="A8" s="318" t="s">
        <v>378</v>
      </c>
      <c r="B8" s="132"/>
      <c r="C8" s="132"/>
      <c r="D8" s="132"/>
      <c r="E8" s="132"/>
      <c r="F8" s="132"/>
      <c r="G8" s="133"/>
      <c r="H8" s="402"/>
      <c r="I8" s="16"/>
    </row>
    <row r="9">
      <c r="A9" s="386" t="s">
        <v>245</v>
      </c>
      <c r="B9" s="323">
        <v>23.0</v>
      </c>
      <c r="C9" s="388" t="s">
        <v>250</v>
      </c>
      <c r="D9" s="323" t="s">
        <v>121</v>
      </c>
      <c r="E9" s="388">
        <v>6.0</v>
      </c>
      <c r="F9" s="388">
        <v>3.0</v>
      </c>
      <c r="G9" s="390" t="s">
        <v>19</v>
      </c>
      <c r="H9" s="383"/>
      <c r="I9" s="389"/>
    </row>
    <row r="10">
      <c r="A10" s="391" t="s">
        <v>245</v>
      </c>
      <c r="B10" s="326">
        <v>24.0</v>
      </c>
      <c r="C10" s="387" t="s">
        <v>317</v>
      </c>
      <c r="D10" s="326" t="s">
        <v>121</v>
      </c>
      <c r="E10" s="387">
        <v>3.0</v>
      </c>
      <c r="F10" s="387">
        <v>3.0</v>
      </c>
      <c r="G10" s="392" t="s">
        <v>73</v>
      </c>
      <c r="H10" s="402"/>
      <c r="I10" s="16"/>
    </row>
    <row r="11">
      <c r="A11" s="391" t="s">
        <v>245</v>
      </c>
      <c r="B11" s="326">
        <v>24.0</v>
      </c>
      <c r="C11" s="387" t="s">
        <v>287</v>
      </c>
      <c r="D11" s="326" t="s">
        <v>121</v>
      </c>
      <c r="E11" s="387">
        <v>0.0</v>
      </c>
      <c r="F11" s="387">
        <v>6.0</v>
      </c>
      <c r="G11" s="392" t="s">
        <v>26</v>
      </c>
      <c r="H11" s="402"/>
      <c r="I11" s="16"/>
    </row>
    <row r="12">
      <c r="A12" s="393" t="s">
        <v>245</v>
      </c>
      <c r="B12" s="330">
        <v>25.0</v>
      </c>
      <c r="C12" s="394" t="s">
        <v>383</v>
      </c>
      <c r="D12" s="330" t="s">
        <v>121</v>
      </c>
      <c r="E12" s="394">
        <v>9.0</v>
      </c>
      <c r="F12" s="394">
        <v>1.0</v>
      </c>
      <c r="G12" s="396" t="s">
        <v>19</v>
      </c>
      <c r="H12" s="402"/>
      <c r="I12" s="16"/>
    </row>
    <row r="13">
      <c r="A13" s="446" t="s">
        <v>385</v>
      </c>
      <c r="B13" s="132"/>
      <c r="C13" s="132"/>
      <c r="D13" s="132"/>
      <c r="E13" s="132"/>
      <c r="F13" s="132"/>
      <c r="G13" s="133"/>
      <c r="H13" s="402"/>
      <c r="I13" s="16"/>
    </row>
    <row r="14">
      <c r="A14" s="448" t="s">
        <v>245</v>
      </c>
      <c r="B14" s="449">
        <v>25.0</v>
      </c>
      <c r="C14" s="450" t="s">
        <v>387</v>
      </c>
      <c r="D14" s="449" t="s">
        <v>121</v>
      </c>
      <c r="E14" s="450">
        <v>6.0</v>
      </c>
      <c r="F14" s="450">
        <v>4.0</v>
      </c>
      <c r="G14" s="451" t="s">
        <v>19</v>
      </c>
      <c r="H14" s="402"/>
      <c r="I14" s="16"/>
    </row>
    <row r="15">
      <c r="A15" s="299"/>
      <c r="B15" s="304"/>
      <c r="C15" s="452"/>
      <c r="D15" s="304"/>
      <c r="E15" s="452"/>
      <c r="F15" s="452"/>
      <c r="G15" s="305"/>
      <c r="H15" s="402"/>
      <c r="I15" s="16"/>
    </row>
    <row r="16">
      <c r="A16" s="424" t="s">
        <v>17</v>
      </c>
      <c r="B16" s="426">
        <v>7.0</v>
      </c>
      <c r="C16" s="252" t="s">
        <v>366</v>
      </c>
      <c r="D16" s="426" t="s">
        <v>16</v>
      </c>
      <c r="E16" s="252">
        <v>5.0</v>
      </c>
      <c r="F16" s="252">
        <v>1.0</v>
      </c>
      <c r="G16" s="427" t="s">
        <v>19</v>
      </c>
      <c r="H16" s="402"/>
      <c r="I16" s="409" t="s">
        <v>19</v>
      </c>
    </row>
    <row r="17">
      <c r="A17" s="405" t="s">
        <v>17</v>
      </c>
      <c r="B17" s="409">
        <v>14.0</v>
      </c>
      <c r="C17" s="408" t="s">
        <v>338</v>
      </c>
      <c r="D17" s="409" t="s">
        <v>16</v>
      </c>
      <c r="E17" s="408">
        <v>10.0</v>
      </c>
      <c r="F17" s="408">
        <v>2.0</v>
      </c>
      <c r="G17" s="411" t="s">
        <v>19</v>
      </c>
      <c r="H17" s="402"/>
      <c r="I17" s="409" t="s">
        <v>19</v>
      </c>
    </row>
    <row r="18">
      <c r="A18" s="405" t="s">
        <v>17</v>
      </c>
      <c r="B18" s="409">
        <v>15.0</v>
      </c>
      <c r="C18" s="408" t="s">
        <v>253</v>
      </c>
      <c r="D18" s="409" t="s">
        <v>388</v>
      </c>
      <c r="E18" s="408">
        <v>6.0</v>
      </c>
      <c r="F18" s="408">
        <v>1.0</v>
      </c>
      <c r="G18" s="411" t="s">
        <v>19</v>
      </c>
      <c r="H18" s="402"/>
      <c r="I18" s="409" t="s">
        <v>19</v>
      </c>
    </row>
    <row r="19">
      <c r="A19" s="405" t="s">
        <v>17</v>
      </c>
      <c r="B19" s="409">
        <v>21.0</v>
      </c>
      <c r="C19" s="408" t="s">
        <v>356</v>
      </c>
      <c r="D19" s="409" t="s">
        <v>357</v>
      </c>
      <c r="E19" s="408">
        <v>9.0</v>
      </c>
      <c r="F19" s="408">
        <v>1.0</v>
      </c>
      <c r="G19" s="411" t="s">
        <v>19</v>
      </c>
      <c r="H19" s="402"/>
      <c r="I19" s="409" t="s">
        <v>19</v>
      </c>
    </row>
    <row r="20">
      <c r="A20" s="405" t="s">
        <v>17</v>
      </c>
      <c r="B20" s="409">
        <v>23.0</v>
      </c>
      <c r="C20" s="408" t="s">
        <v>352</v>
      </c>
      <c r="D20" s="409" t="s">
        <v>389</v>
      </c>
      <c r="E20" s="408">
        <v>3.0</v>
      </c>
      <c r="F20" s="408">
        <v>7.0</v>
      </c>
      <c r="G20" s="411" t="s">
        <v>26</v>
      </c>
      <c r="H20" s="402"/>
      <c r="I20" s="409" t="s">
        <v>26</v>
      </c>
    </row>
    <row r="21">
      <c r="A21" s="405" t="s">
        <v>17</v>
      </c>
      <c r="B21" s="409">
        <v>29.0</v>
      </c>
      <c r="C21" s="408" t="s">
        <v>225</v>
      </c>
      <c r="D21" s="409" t="s">
        <v>334</v>
      </c>
      <c r="E21" s="408" t="s">
        <v>221</v>
      </c>
      <c r="F21" s="18"/>
      <c r="G21" s="453"/>
      <c r="H21" s="402"/>
      <c r="I21" s="16"/>
    </row>
    <row r="22">
      <c r="A22" s="405" t="s">
        <v>34</v>
      </c>
      <c r="B22" s="409">
        <v>4.0</v>
      </c>
      <c r="C22" s="408" t="s">
        <v>366</v>
      </c>
      <c r="D22" s="409" t="s">
        <v>16</v>
      </c>
      <c r="E22" s="408">
        <v>6.0</v>
      </c>
      <c r="F22" s="408">
        <v>4.0</v>
      </c>
      <c r="G22" s="411" t="s">
        <v>19</v>
      </c>
      <c r="H22" s="402"/>
      <c r="I22" s="409" t="s">
        <v>19</v>
      </c>
    </row>
    <row r="23">
      <c r="A23" s="391" t="s">
        <v>277</v>
      </c>
      <c r="B23" s="326">
        <v>11.0</v>
      </c>
      <c r="C23" s="387" t="s">
        <v>186</v>
      </c>
      <c r="D23" s="326" t="s">
        <v>391</v>
      </c>
      <c r="E23" s="387">
        <v>4.0</v>
      </c>
      <c r="F23" s="387">
        <v>3.0</v>
      </c>
      <c r="G23" s="392" t="s">
        <v>19</v>
      </c>
      <c r="H23" s="402"/>
      <c r="I23" s="16"/>
    </row>
    <row r="24">
      <c r="A24" s="405" t="s">
        <v>34</v>
      </c>
      <c r="B24" s="409">
        <v>18.0</v>
      </c>
      <c r="C24" s="408" t="s">
        <v>361</v>
      </c>
      <c r="D24" s="409" t="s">
        <v>16</v>
      </c>
      <c r="E24" s="408">
        <v>2.0</v>
      </c>
      <c r="F24" s="408">
        <v>3.0</v>
      </c>
      <c r="G24" s="411" t="s">
        <v>26</v>
      </c>
      <c r="H24" s="402"/>
      <c r="I24" s="409" t="s">
        <v>26</v>
      </c>
    </row>
    <row r="25">
      <c r="A25" s="405" t="s">
        <v>61</v>
      </c>
      <c r="B25" s="454">
        <v>2.0</v>
      </c>
      <c r="C25" s="408" t="s">
        <v>206</v>
      </c>
      <c r="D25" s="409" t="s">
        <v>392</v>
      </c>
      <c r="E25" s="408">
        <v>5.0</v>
      </c>
      <c r="F25" s="408">
        <v>3.0</v>
      </c>
      <c r="G25" s="411" t="s">
        <v>19</v>
      </c>
      <c r="H25" s="402"/>
      <c r="I25" s="409" t="s">
        <v>19</v>
      </c>
    </row>
    <row r="26">
      <c r="A26" s="405" t="s">
        <v>61</v>
      </c>
      <c r="B26" s="454">
        <v>4.0</v>
      </c>
      <c r="C26" s="408" t="s">
        <v>394</v>
      </c>
      <c r="D26" s="409" t="s">
        <v>389</v>
      </c>
      <c r="E26" s="408">
        <v>14.0</v>
      </c>
      <c r="F26" s="408">
        <v>5.0</v>
      </c>
      <c r="G26" s="411" t="s">
        <v>19</v>
      </c>
      <c r="H26" s="402"/>
      <c r="I26" s="409" t="s">
        <v>19</v>
      </c>
    </row>
    <row r="27">
      <c r="A27" s="405" t="s">
        <v>61</v>
      </c>
      <c r="B27" s="409">
        <v>9.0</v>
      </c>
      <c r="C27" s="408" t="s">
        <v>365</v>
      </c>
      <c r="D27" s="409" t="s">
        <v>16</v>
      </c>
      <c r="E27" s="408">
        <v>9.0</v>
      </c>
      <c r="F27" s="408">
        <v>1.0</v>
      </c>
      <c r="G27" s="411" t="s">
        <v>19</v>
      </c>
      <c r="H27" s="402"/>
      <c r="I27" s="409" t="s">
        <v>19</v>
      </c>
    </row>
    <row r="28">
      <c r="A28" s="405" t="s">
        <v>61</v>
      </c>
      <c r="B28" s="409">
        <v>11.0</v>
      </c>
      <c r="C28" s="408" t="s">
        <v>347</v>
      </c>
      <c r="D28" s="409" t="s">
        <v>348</v>
      </c>
      <c r="E28" s="408">
        <v>1.0</v>
      </c>
      <c r="F28" s="408">
        <v>6.0</v>
      </c>
      <c r="G28" s="411" t="s">
        <v>26</v>
      </c>
      <c r="H28" s="402"/>
      <c r="I28" s="409" t="s">
        <v>26</v>
      </c>
    </row>
    <row r="29">
      <c r="A29" s="391" t="s">
        <v>298</v>
      </c>
      <c r="B29" s="326">
        <v>22.0</v>
      </c>
      <c r="C29" s="387" t="s">
        <v>364</v>
      </c>
      <c r="D29" s="326" t="s">
        <v>389</v>
      </c>
      <c r="E29" s="387">
        <v>4.0</v>
      </c>
      <c r="F29" s="387">
        <v>1.0</v>
      </c>
      <c r="G29" s="392" t="s">
        <v>19</v>
      </c>
      <c r="H29" s="402"/>
      <c r="I29" s="16"/>
    </row>
    <row r="30">
      <c r="A30" s="405" t="s">
        <v>398</v>
      </c>
      <c r="B30" s="409">
        <v>27.0</v>
      </c>
      <c r="C30" s="408" t="s">
        <v>381</v>
      </c>
      <c r="D30" s="409" t="s">
        <v>16</v>
      </c>
      <c r="E30" s="408">
        <v>1.0</v>
      </c>
      <c r="F30" s="408">
        <v>0.0</v>
      </c>
      <c r="G30" s="411" t="s">
        <v>19</v>
      </c>
      <c r="H30" s="402"/>
      <c r="I30" s="409" t="s">
        <v>19</v>
      </c>
    </row>
    <row r="31">
      <c r="A31" s="391" t="s">
        <v>298</v>
      </c>
      <c r="B31" s="326">
        <v>27.0</v>
      </c>
      <c r="C31" s="262" t="s">
        <v>345</v>
      </c>
      <c r="D31" s="326" t="s">
        <v>16</v>
      </c>
      <c r="E31" s="387">
        <v>6.0</v>
      </c>
      <c r="F31" s="387">
        <v>0.0</v>
      </c>
      <c r="G31" s="392" t="s">
        <v>19</v>
      </c>
      <c r="H31" s="402"/>
      <c r="I31" s="16"/>
    </row>
    <row r="32">
      <c r="A32" s="405" t="s">
        <v>74</v>
      </c>
      <c r="B32" s="409">
        <v>3.0</v>
      </c>
      <c r="C32" s="408" t="s">
        <v>274</v>
      </c>
      <c r="D32" s="409" t="s">
        <v>403</v>
      </c>
      <c r="E32" s="408">
        <v>12.0</v>
      </c>
      <c r="F32" s="408">
        <v>0.0</v>
      </c>
      <c r="G32" s="411" t="s">
        <v>19</v>
      </c>
      <c r="H32" s="402"/>
      <c r="I32" s="409" t="s">
        <v>19</v>
      </c>
    </row>
    <row r="33">
      <c r="A33" s="405" t="s">
        <v>74</v>
      </c>
      <c r="B33" s="409">
        <v>4.0</v>
      </c>
      <c r="C33" s="408" t="s">
        <v>404</v>
      </c>
      <c r="D33" s="409" t="s">
        <v>405</v>
      </c>
      <c r="E33" s="408">
        <v>10.0</v>
      </c>
      <c r="F33" s="408">
        <v>1.0</v>
      </c>
      <c r="G33" s="411" t="s">
        <v>19</v>
      </c>
      <c r="H33" s="402"/>
      <c r="I33" s="409" t="s">
        <v>19</v>
      </c>
    </row>
    <row r="34">
      <c r="A34" s="405" t="s">
        <v>74</v>
      </c>
      <c r="B34" s="409">
        <v>10.0</v>
      </c>
      <c r="C34" s="408" t="s">
        <v>339</v>
      </c>
      <c r="D34" s="409" t="s">
        <v>16</v>
      </c>
      <c r="E34" s="408">
        <v>11.0</v>
      </c>
      <c r="F34" s="408">
        <v>2.0</v>
      </c>
      <c r="G34" s="411" t="s">
        <v>19</v>
      </c>
      <c r="H34" s="402"/>
      <c r="I34" s="409" t="s">
        <v>19</v>
      </c>
    </row>
    <row r="35">
      <c r="A35" s="435" t="s">
        <v>74</v>
      </c>
      <c r="B35" s="438">
        <v>11.0</v>
      </c>
      <c r="C35" s="439" t="s">
        <v>248</v>
      </c>
      <c r="D35" s="438" t="s">
        <v>350</v>
      </c>
      <c r="E35" s="439">
        <v>7.0</v>
      </c>
      <c r="F35" s="439">
        <v>4.0</v>
      </c>
      <c r="G35" s="440" t="s">
        <v>19</v>
      </c>
      <c r="H35" s="402"/>
      <c r="I35" s="409" t="s">
        <v>19</v>
      </c>
    </row>
    <row r="36">
      <c r="A36" s="365"/>
      <c r="B36" s="367"/>
      <c r="C36" s="369"/>
      <c r="D36" s="367"/>
      <c r="E36" s="369"/>
      <c r="F36" s="369"/>
      <c r="G36" s="371"/>
      <c r="H36" s="383"/>
      <c r="I36" s="389"/>
    </row>
    <row r="37" ht="15.75" customHeight="1">
      <c r="A37" s="434" t="s">
        <v>406</v>
      </c>
      <c r="B37" s="13"/>
      <c r="C37" s="13"/>
      <c r="D37" s="13"/>
      <c r="E37" s="13"/>
      <c r="F37" s="13"/>
      <c r="G37" s="14"/>
      <c r="H37" s="441"/>
      <c r="I37" s="16"/>
    </row>
    <row r="38">
      <c r="A38" s="442" t="s">
        <v>74</v>
      </c>
      <c r="B38" s="443">
        <v>18.0</v>
      </c>
      <c r="C38" s="314" t="s">
        <v>67</v>
      </c>
      <c r="D38" s="443" t="s">
        <v>254</v>
      </c>
      <c r="E38" s="314">
        <v>2.0</v>
      </c>
      <c r="F38" s="314">
        <v>5.0</v>
      </c>
      <c r="G38" s="444" t="s">
        <v>26</v>
      </c>
      <c r="H38" s="402"/>
      <c r="I38" s="409" t="s">
        <v>26</v>
      </c>
    </row>
    <row r="39">
      <c r="A39" s="374" t="s">
        <v>312</v>
      </c>
      <c r="B39" s="132"/>
      <c r="C39" s="132"/>
      <c r="D39" s="375" t="s">
        <v>314</v>
      </c>
      <c r="E39" s="377">
        <f t="shared" ref="E39:F39" si="1">SUM(E9:E38)</f>
        <v>151</v>
      </c>
      <c r="F39" s="377">
        <f t="shared" si="1"/>
        <v>67</v>
      </c>
      <c r="G39" s="378"/>
      <c r="H39" s="383"/>
      <c r="I39" s="389"/>
    </row>
  </sheetData>
  <mergeCells count="5">
    <mergeCell ref="A5:G6"/>
    <mergeCell ref="A8:G8"/>
    <mergeCell ref="A13:G13"/>
    <mergeCell ref="A37:G37"/>
    <mergeCell ref="A39:C3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6.5"/>
    <col customWidth="1" min="2" max="2" width="3.63"/>
    <col customWidth="1" min="3" max="3" width="24.5"/>
    <col customWidth="1" min="4" max="4" width="41.5"/>
    <col customWidth="1" min="5" max="5" width="5.5"/>
    <col customWidth="1" min="6" max="6" width="4.38"/>
    <col customWidth="1" min="7" max="7" width="7.38"/>
    <col customWidth="1" min="8" max="8" width="7.75"/>
    <col customWidth="1" min="9" max="9" width="6.63"/>
  </cols>
  <sheetData>
    <row r="1">
      <c r="A1" s="264"/>
      <c r="B1" s="265"/>
      <c r="C1" s="266" t="s">
        <v>0</v>
      </c>
      <c r="D1" s="4" t="str">
        <f>COUNTIF(G5:G38,"W")&amp;"-"&amp;COUNTIF(G5:G38,"L")&amp;"-"&amp;COUNTIF(G5:G38,"T")&amp;"-"&amp;COUNTIF(G5:G38,"OTL")</f>
        <v>19-4-0-2</v>
      </c>
      <c r="E1" s="271"/>
      <c r="F1" s="271"/>
      <c r="G1" s="273"/>
      <c r="H1" s="383"/>
      <c r="I1" s="384"/>
    </row>
    <row r="2">
      <c r="A2" s="277"/>
      <c r="B2" s="280"/>
      <c r="C2" s="242" t="s">
        <v>1</v>
      </c>
      <c r="D2" s="10" t="str">
        <f>COUNTIF(I5:I38,"W")&amp;"-"&amp;COUNTIF(I5:I38,"L")&amp;"-"&amp;COUNTIF(I5:I38,"T")&amp;"-"&amp;COUNTIF(I5:I38,"OTL")</f>
        <v>14-3-0-1</v>
      </c>
      <c r="E2" s="286"/>
      <c r="F2" s="286"/>
      <c r="G2" s="287"/>
      <c r="H2" s="383"/>
      <c r="I2" s="389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389"/>
    </row>
    <row r="4">
      <c r="A4" s="299"/>
      <c r="B4" s="300"/>
      <c r="C4" s="301"/>
      <c r="D4" s="303"/>
      <c r="E4" s="304"/>
      <c r="F4" s="304"/>
      <c r="G4" s="305"/>
      <c r="H4" s="383"/>
      <c r="I4" s="395" t="s">
        <v>4</v>
      </c>
    </row>
    <row r="5">
      <c r="A5" s="382" t="s">
        <v>390</v>
      </c>
      <c r="B5" s="3"/>
      <c r="C5" s="3"/>
      <c r="D5" s="3"/>
      <c r="E5" s="3"/>
      <c r="F5" s="3"/>
      <c r="G5" s="5"/>
      <c r="H5" s="397"/>
      <c r="I5" s="389"/>
    </row>
    <row r="6">
      <c r="A6" s="310"/>
      <c r="B6" s="13"/>
      <c r="C6" s="13"/>
      <c r="D6" s="13"/>
      <c r="E6" s="13"/>
      <c r="F6" s="13"/>
      <c r="G6" s="14"/>
      <c r="H6" s="397"/>
      <c r="I6" s="389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389"/>
    </row>
    <row r="8">
      <c r="A8" s="318" t="s">
        <v>378</v>
      </c>
      <c r="B8" s="132"/>
      <c r="C8" s="132"/>
      <c r="D8" s="132"/>
      <c r="E8" s="132"/>
      <c r="F8" s="132"/>
      <c r="G8" s="133"/>
      <c r="H8" s="402"/>
      <c r="I8" s="16"/>
    </row>
    <row r="9">
      <c r="A9" s="386" t="s">
        <v>245</v>
      </c>
      <c r="B9" s="323">
        <v>10.0</v>
      </c>
      <c r="C9" s="388" t="s">
        <v>395</v>
      </c>
      <c r="D9" s="323" t="s">
        <v>121</v>
      </c>
      <c r="E9" s="388">
        <v>6.0</v>
      </c>
      <c r="F9" s="388">
        <v>2.0</v>
      </c>
      <c r="G9" s="390" t="s">
        <v>19</v>
      </c>
      <c r="H9" s="383"/>
      <c r="I9" s="389"/>
    </row>
    <row r="10">
      <c r="A10" s="391" t="s">
        <v>245</v>
      </c>
      <c r="B10" s="326">
        <v>11.0</v>
      </c>
      <c r="C10" s="387" t="s">
        <v>317</v>
      </c>
      <c r="D10" s="326" t="s">
        <v>121</v>
      </c>
      <c r="E10" s="387">
        <v>5.0</v>
      </c>
      <c r="F10" s="387">
        <v>4.0</v>
      </c>
      <c r="G10" s="392" t="s">
        <v>19</v>
      </c>
      <c r="H10" s="402"/>
      <c r="I10" s="16"/>
    </row>
    <row r="11">
      <c r="A11" s="393" t="s">
        <v>245</v>
      </c>
      <c r="B11" s="330">
        <v>11.0</v>
      </c>
      <c r="C11" s="394" t="s">
        <v>401</v>
      </c>
      <c r="D11" s="330" t="s">
        <v>121</v>
      </c>
      <c r="E11" s="394">
        <v>4.0</v>
      </c>
      <c r="F11" s="394">
        <v>2.0</v>
      </c>
      <c r="G11" s="396" t="s">
        <v>19</v>
      </c>
      <c r="H11" s="402"/>
      <c r="I11" s="16"/>
    </row>
    <row r="12">
      <c r="A12" s="446" t="s">
        <v>385</v>
      </c>
      <c r="B12" s="132"/>
      <c r="C12" s="132"/>
      <c r="D12" s="132"/>
      <c r="E12" s="132"/>
      <c r="F12" s="132"/>
      <c r="G12" s="133"/>
      <c r="H12" s="402"/>
      <c r="I12" s="16"/>
    </row>
    <row r="13">
      <c r="A13" s="448" t="s">
        <v>245</v>
      </c>
      <c r="B13" s="449">
        <v>12.0</v>
      </c>
      <c r="C13" s="450" t="s">
        <v>247</v>
      </c>
      <c r="D13" s="449" t="s">
        <v>121</v>
      </c>
      <c r="E13" s="450">
        <v>1.0</v>
      </c>
      <c r="F13" s="450">
        <v>4.0</v>
      </c>
      <c r="G13" s="451" t="s">
        <v>26</v>
      </c>
      <c r="H13" s="402"/>
      <c r="I13" s="16"/>
    </row>
    <row r="14">
      <c r="A14" s="455"/>
      <c r="B14" s="456"/>
      <c r="C14" s="457"/>
      <c r="D14" s="456"/>
      <c r="E14" s="457"/>
      <c r="F14" s="457"/>
      <c r="G14" s="458"/>
      <c r="H14" s="402"/>
      <c r="I14" s="16"/>
    </row>
    <row r="15">
      <c r="A15" s="386" t="s">
        <v>263</v>
      </c>
      <c r="B15" s="323">
        <v>1.0</v>
      </c>
      <c r="C15" s="388" t="s">
        <v>358</v>
      </c>
      <c r="D15" s="323" t="s">
        <v>16</v>
      </c>
      <c r="E15" s="388">
        <v>3.0</v>
      </c>
      <c r="F15" s="388">
        <v>2.0</v>
      </c>
      <c r="G15" s="390" t="s">
        <v>19</v>
      </c>
      <c r="H15" s="402"/>
      <c r="I15" s="16"/>
    </row>
    <row r="16">
      <c r="A16" s="405" t="s">
        <v>17</v>
      </c>
      <c r="B16" s="409">
        <v>8.0</v>
      </c>
      <c r="C16" s="408" t="s">
        <v>338</v>
      </c>
      <c r="D16" s="409" t="s">
        <v>16</v>
      </c>
      <c r="E16" s="408">
        <v>5.0</v>
      </c>
      <c r="F16" s="408">
        <v>8.0</v>
      </c>
      <c r="G16" s="411" t="s">
        <v>26</v>
      </c>
      <c r="H16" s="402"/>
      <c r="I16" s="409" t="s">
        <v>26</v>
      </c>
    </row>
    <row r="17">
      <c r="A17" s="405" t="s">
        <v>17</v>
      </c>
      <c r="B17" s="409">
        <v>15.0</v>
      </c>
      <c r="C17" s="255" t="s">
        <v>339</v>
      </c>
      <c r="D17" s="409" t="s">
        <v>16</v>
      </c>
      <c r="E17" s="408">
        <v>8.0</v>
      </c>
      <c r="F17" s="408">
        <v>5.0</v>
      </c>
      <c r="G17" s="411" t="s">
        <v>19</v>
      </c>
      <c r="H17" s="402"/>
      <c r="I17" s="409" t="s">
        <v>19</v>
      </c>
    </row>
    <row r="18">
      <c r="A18" s="405" t="s">
        <v>17</v>
      </c>
      <c r="B18" s="409">
        <v>16.0</v>
      </c>
      <c r="C18" s="408" t="s">
        <v>225</v>
      </c>
      <c r="D18" s="409" t="s">
        <v>410</v>
      </c>
      <c r="E18" s="408">
        <v>1.0</v>
      </c>
      <c r="F18" s="408">
        <v>3.0</v>
      </c>
      <c r="G18" s="411" t="s">
        <v>26</v>
      </c>
      <c r="H18" s="402"/>
      <c r="I18" s="409" t="s">
        <v>26</v>
      </c>
    </row>
    <row r="19">
      <c r="A19" s="391" t="s">
        <v>263</v>
      </c>
      <c r="B19" s="326">
        <v>23.0</v>
      </c>
      <c r="C19" s="387" t="s">
        <v>206</v>
      </c>
      <c r="D19" s="326" t="s">
        <v>368</v>
      </c>
      <c r="E19" s="387">
        <v>6.0</v>
      </c>
      <c r="F19" s="387">
        <v>2.0</v>
      </c>
      <c r="G19" s="392" t="s">
        <v>19</v>
      </c>
      <c r="H19" s="402"/>
      <c r="I19" s="16"/>
    </row>
    <row r="20">
      <c r="A20" s="405" t="s">
        <v>17</v>
      </c>
      <c r="B20" s="409">
        <v>31.0</v>
      </c>
      <c r="C20" s="408" t="s">
        <v>347</v>
      </c>
      <c r="D20" s="409" t="s">
        <v>412</v>
      </c>
      <c r="E20" s="408">
        <v>5.0</v>
      </c>
      <c r="F20" s="408">
        <v>4.0</v>
      </c>
      <c r="G20" s="411" t="s">
        <v>19</v>
      </c>
      <c r="H20" s="402"/>
      <c r="I20" s="409" t="s">
        <v>19</v>
      </c>
    </row>
    <row r="21">
      <c r="A21" s="405" t="s">
        <v>34</v>
      </c>
      <c r="B21" s="409">
        <v>5.0</v>
      </c>
      <c r="C21" s="408" t="s">
        <v>366</v>
      </c>
      <c r="D21" s="409" t="s">
        <v>16</v>
      </c>
      <c r="E21" s="408">
        <v>3.0</v>
      </c>
      <c r="F21" s="408">
        <v>1.0</v>
      </c>
      <c r="G21" s="411" t="s">
        <v>19</v>
      </c>
      <c r="H21" s="402"/>
      <c r="I21" s="409" t="s">
        <v>19</v>
      </c>
    </row>
    <row r="22">
      <c r="A22" s="391" t="s">
        <v>277</v>
      </c>
      <c r="B22" s="326">
        <v>12.0</v>
      </c>
      <c r="C22" s="387" t="s">
        <v>352</v>
      </c>
      <c r="D22" s="326" t="s">
        <v>16</v>
      </c>
      <c r="E22" s="387" t="s">
        <v>118</v>
      </c>
      <c r="G22" s="11"/>
      <c r="H22" s="402"/>
      <c r="I22" s="16"/>
    </row>
    <row r="23">
      <c r="A23" s="405" t="s">
        <v>34</v>
      </c>
      <c r="B23" s="409">
        <v>13.0</v>
      </c>
      <c r="C23" s="255" t="s">
        <v>253</v>
      </c>
      <c r="D23" s="409" t="s">
        <v>388</v>
      </c>
      <c r="E23" s="408">
        <v>14.0</v>
      </c>
      <c r="F23" s="408">
        <v>3.0</v>
      </c>
      <c r="G23" s="411" t="s">
        <v>19</v>
      </c>
      <c r="H23" s="402"/>
      <c r="I23" s="409" t="s">
        <v>19</v>
      </c>
    </row>
    <row r="24">
      <c r="A24" s="405" t="s">
        <v>34</v>
      </c>
      <c r="B24" s="454">
        <v>19.0</v>
      </c>
      <c r="C24" s="408" t="s">
        <v>274</v>
      </c>
      <c r="D24" s="409" t="s">
        <v>411</v>
      </c>
      <c r="E24" s="408">
        <v>9.0</v>
      </c>
      <c r="F24" s="408">
        <v>2.0</v>
      </c>
      <c r="G24" s="411" t="s">
        <v>19</v>
      </c>
      <c r="H24" s="402"/>
      <c r="I24" s="409" t="s">
        <v>19</v>
      </c>
    </row>
    <row r="25">
      <c r="A25" s="405" t="s">
        <v>34</v>
      </c>
      <c r="B25" s="454">
        <v>21.0</v>
      </c>
      <c r="C25" s="408" t="s">
        <v>394</v>
      </c>
      <c r="D25" s="409" t="s">
        <v>413</v>
      </c>
      <c r="E25" s="408">
        <v>14.0</v>
      </c>
      <c r="F25" s="408">
        <v>2.0</v>
      </c>
      <c r="G25" s="411" t="s">
        <v>19</v>
      </c>
      <c r="H25" s="402"/>
      <c r="I25" s="409" t="s">
        <v>19</v>
      </c>
    </row>
    <row r="26">
      <c r="A26" s="405" t="s">
        <v>61</v>
      </c>
      <c r="B26" s="409">
        <v>3.0</v>
      </c>
      <c r="C26" s="408" t="s">
        <v>361</v>
      </c>
      <c r="D26" s="409" t="s">
        <v>16</v>
      </c>
      <c r="E26" s="408">
        <v>7.0</v>
      </c>
      <c r="F26" s="408">
        <v>8.0</v>
      </c>
      <c r="G26" s="411" t="s">
        <v>48</v>
      </c>
      <c r="H26" s="402"/>
      <c r="I26" s="409" t="s">
        <v>48</v>
      </c>
    </row>
    <row r="27">
      <c r="A27" s="405" t="s">
        <v>61</v>
      </c>
      <c r="B27" s="409">
        <v>11.0</v>
      </c>
      <c r="C27" s="408" t="s">
        <v>356</v>
      </c>
      <c r="D27" s="409" t="s">
        <v>416</v>
      </c>
      <c r="E27" s="408">
        <v>3.0</v>
      </c>
      <c r="F27" s="408">
        <v>1.0</v>
      </c>
      <c r="G27" s="411" t="s">
        <v>19</v>
      </c>
      <c r="H27" s="402"/>
      <c r="I27" s="409" t="s">
        <v>19</v>
      </c>
    </row>
    <row r="28">
      <c r="A28" s="391" t="s">
        <v>298</v>
      </c>
      <c r="B28" s="326">
        <v>21.0</v>
      </c>
      <c r="C28" s="387" t="s">
        <v>417</v>
      </c>
      <c r="D28" s="326" t="s">
        <v>16</v>
      </c>
      <c r="E28" s="387">
        <v>5.0</v>
      </c>
      <c r="F28" s="387">
        <v>6.0</v>
      </c>
      <c r="G28" s="392" t="s">
        <v>48</v>
      </c>
      <c r="H28" s="402"/>
      <c r="I28" s="16"/>
    </row>
    <row r="29">
      <c r="A29" s="405" t="s">
        <v>68</v>
      </c>
      <c r="B29" s="409">
        <v>23.0</v>
      </c>
      <c r="C29" s="408" t="s">
        <v>365</v>
      </c>
      <c r="D29" s="409" t="s">
        <v>413</v>
      </c>
      <c r="E29" s="408">
        <v>7.0</v>
      </c>
      <c r="F29" s="408">
        <v>3.0</v>
      </c>
      <c r="G29" s="411" t="s">
        <v>19</v>
      </c>
      <c r="H29" s="402"/>
      <c r="I29" s="409" t="s">
        <v>19</v>
      </c>
    </row>
    <row r="30">
      <c r="A30" s="405" t="s">
        <v>68</v>
      </c>
      <c r="B30" s="409">
        <v>28.0</v>
      </c>
      <c r="C30" s="408" t="s">
        <v>358</v>
      </c>
      <c r="D30" s="409" t="s">
        <v>16</v>
      </c>
      <c r="E30" s="408">
        <v>2.0</v>
      </c>
      <c r="F30" s="408">
        <v>1.0</v>
      </c>
      <c r="G30" s="411" t="s">
        <v>19</v>
      </c>
      <c r="H30" s="402"/>
      <c r="I30" s="409" t="s">
        <v>19</v>
      </c>
    </row>
    <row r="31">
      <c r="A31" s="405" t="s">
        <v>74</v>
      </c>
      <c r="B31" s="409">
        <v>4.0</v>
      </c>
      <c r="C31" s="408" t="s">
        <v>266</v>
      </c>
      <c r="D31" s="409" t="s">
        <v>334</v>
      </c>
      <c r="E31" s="408">
        <v>14.0</v>
      </c>
      <c r="F31" s="408">
        <v>1.0</v>
      </c>
      <c r="G31" s="411" t="s">
        <v>19</v>
      </c>
      <c r="H31" s="402"/>
      <c r="I31" s="409" t="s">
        <v>19</v>
      </c>
    </row>
    <row r="32">
      <c r="A32" s="405" t="s">
        <v>74</v>
      </c>
      <c r="B32" s="409">
        <v>5.0</v>
      </c>
      <c r="C32" s="255" t="s">
        <v>258</v>
      </c>
      <c r="D32" s="409" t="s">
        <v>407</v>
      </c>
      <c r="E32" s="408">
        <v>6.0</v>
      </c>
      <c r="F32" s="408">
        <v>3.0</v>
      </c>
      <c r="G32" s="411" t="s">
        <v>19</v>
      </c>
      <c r="H32" s="402"/>
      <c r="I32" s="409" t="s">
        <v>19</v>
      </c>
    </row>
    <row r="33">
      <c r="A33" s="405" t="s">
        <v>74</v>
      </c>
      <c r="B33" s="409">
        <v>11.0</v>
      </c>
      <c r="C33" s="255" t="s">
        <v>345</v>
      </c>
      <c r="D33" s="409" t="s">
        <v>16</v>
      </c>
      <c r="E33" s="408">
        <v>12.0</v>
      </c>
      <c r="F33" s="408">
        <v>2.0</v>
      </c>
      <c r="G33" s="411" t="s">
        <v>19</v>
      </c>
      <c r="H33" s="402"/>
      <c r="I33" s="409" t="s">
        <v>19</v>
      </c>
    </row>
    <row r="34">
      <c r="A34" s="435" t="s">
        <v>74</v>
      </c>
      <c r="B34" s="438">
        <v>12.0</v>
      </c>
      <c r="C34" s="439" t="s">
        <v>248</v>
      </c>
      <c r="D34" s="438" t="s">
        <v>350</v>
      </c>
      <c r="E34" s="439">
        <v>8.0</v>
      </c>
      <c r="F34" s="439">
        <v>3.0</v>
      </c>
      <c r="G34" s="440" t="s">
        <v>19</v>
      </c>
      <c r="H34" s="402"/>
      <c r="I34" s="409" t="s">
        <v>19</v>
      </c>
    </row>
    <row r="35">
      <c r="A35" s="365"/>
      <c r="B35" s="367"/>
      <c r="C35" s="369"/>
      <c r="D35" s="367"/>
      <c r="E35" s="369"/>
      <c r="F35" s="369"/>
      <c r="G35" s="371"/>
      <c r="H35" s="383"/>
      <c r="I35" s="389"/>
    </row>
    <row r="36" ht="15.75" customHeight="1">
      <c r="A36" s="434" t="s">
        <v>423</v>
      </c>
      <c r="B36" s="13"/>
      <c r="C36" s="13"/>
      <c r="D36" s="13"/>
      <c r="E36" s="13"/>
      <c r="F36" s="13"/>
      <c r="G36" s="14"/>
      <c r="H36" s="397"/>
      <c r="I36" s="389"/>
    </row>
    <row r="37">
      <c r="A37" s="424" t="s">
        <v>74</v>
      </c>
      <c r="B37" s="426">
        <v>19.0</v>
      </c>
      <c r="C37" s="252" t="s">
        <v>361</v>
      </c>
      <c r="D37" s="426" t="s">
        <v>388</v>
      </c>
      <c r="E37" s="252">
        <v>4.0</v>
      </c>
      <c r="F37" s="252">
        <v>1.0</v>
      </c>
      <c r="G37" s="427" t="s">
        <v>19</v>
      </c>
      <c r="H37" s="402"/>
      <c r="I37" s="409" t="s">
        <v>19</v>
      </c>
    </row>
    <row r="38">
      <c r="A38" s="435" t="s">
        <v>74</v>
      </c>
      <c r="B38" s="438">
        <v>20.0</v>
      </c>
      <c r="C38" s="439" t="s">
        <v>358</v>
      </c>
      <c r="D38" s="438" t="s">
        <v>388</v>
      </c>
      <c r="E38" s="439">
        <v>3.0</v>
      </c>
      <c r="F38" s="439">
        <v>6.0</v>
      </c>
      <c r="G38" s="440" t="s">
        <v>26</v>
      </c>
      <c r="H38" s="402"/>
      <c r="I38" s="409" t="s">
        <v>26</v>
      </c>
    </row>
    <row r="39">
      <c r="A39" s="374" t="s">
        <v>419</v>
      </c>
      <c r="B39" s="132"/>
      <c r="C39" s="132"/>
      <c r="D39" s="375" t="s">
        <v>314</v>
      </c>
      <c r="E39" s="377">
        <f t="shared" ref="E39:F39" si="1">SUM(E9:E38)</f>
        <v>155</v>
      </c>
      <c r="F39" s="377">
        <f t="shared" si="1"/>
        <v>79</v>
      </c>
      <c r="G39" s="378"/>
      <c r="H39" s="383"/>
      <c r="I39" s="389"/>
    </row>
  </sheetData>
  <mergeCells count="6">
    <mergeCell ref="A5:G6"/>
    <mergeCell ref="A8:G8"/>
    <mergeCell ref="A12:G12"/>
    <mergeCell ref="E22:G22"/>
    <mergeCell ref="A36:G36"/>
    <mergeCell ref="A39:C3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5.88"/>
    <col customWidth="1" min="2" max="2" width="3.63"/>
    <col customWidth="1" min="3" max="3" width="28.38"/>
    <col customWidth="1" min="4" max="4" width="39.88"/>
    <col customWidth="1" min="5" max="5" width="5.25"/>
    <col customWidth="1" min="6" max="6" width="3.88"/>
    <col customWidth="1" min="7" max="7" width="6.63"/>
    <col customWidth="1" min="8" max="8" width="7.75"/>
    <col customWidth="1" min="9" max="9" width="6.63"/>
  </cols>
  <sheetData>
    <row r="1">
      <c r="A1" s="264"/>
      <c r="B1" s="265"/>
      <c r="C1" s="266" t="s">
        <v>0</v>
      </c>
      <c r="D1" s="4" t="str">
        <f>COUNTIF(G5:G34,"W")&amp;"-"&amp;COUNTIF(G5:G34,"L")&amp;"-"&amp;COUNTIF(G5:G34,"T")&amp;"-"&amp;COUNTIF(G5:G34,"OTL")</f>
        <v>18-4-0-1</v>
      </c>
      <c r="E1" s="271"/>
      <c r="F1" s="271"/>
      <c r="G1" s="273"/>
      <c r="H1" s="383"/>
      <c r="I1" s="384"/>
    </row>
    <row r="2">
      <c r="A2" s="277"/>
      <c r="B2" s="280"/>
      <c r="C2" s="242" t="s">
        <v>1</v>
      </c>
      <c r="D2" s="10" t="str">
        <f>COUNTIF(I5:I34,"W")&amp;"-"&amp;COUNTIF(I5:I34,"L")&amp;"-"&amp;COUNTIF(I5:I34,"T")&amp;"-"&amp;COUNTIF(I5:I34,"OTL")</f>
        <v>16-2-0-1</v>
      </c>
      <c r="E2" s="286"/>
      <c r="F2" s="286"/>
      <c r="G2" s="287"/>
      <c r="H2" s="383"/>
      <c r="I2" s="389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389"/>
    </row>
    <row r="4">
      <c r="A4" s="299"/>
      <c r="B4" s="300"/>
      <c r="C4" s="301"/>
      <c r="D4" s="303"/>
      <c r="E4" s="304"/>
      <c r="F4" s="304"/>
      <c r="G4" s="305"/>
      <c r="H4" s="383"/>
      <c r="I4" s="395" t="s">
        <v>4</v>
      </c>
    </row>
    <row r="5">
      <c r="A5" s="382" t="s">
        <v>393</v>
      </c>
      <c r="B5" s="3"/>
      <c r="C5" s="3"/>
      <c r="D5" s="3"/>
      <c r="E5" s="3"/>
      <c r="F5" s="3"/>
      <c r="G5" s="5"/>
      <c r="H5" s="397"/>
      <c r="I5" s="389"/>
    </row>
    <row r="6">
      <c r="A6" s="310"/>
      <c r="B6" s="13"/>
      <c r="C6" s="13"/>
      <c r="D6" s="13"/>
      <c r="E6" s="13"/>
      <c r="F6" s="13"/>
      <c r="G6" s="14"/>
      <c r="H6" s="397"/>
      <c r="I6" s="389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389"/>
    </row>
    <row r="8">
      <c r="A8" s="386" t="s">
        <v>245</v>
      </c>
      <c r="B8" s="323">
        <v>26.0</v>
      </c>
      <c r="C8" s="388" t="s">
        <v>396</v>
      </c>
      <c r="D8" s="323" t="s">
        <v>397</v>
      </c>
      <c r="E8" s="388">
        <v>2.0</v>
      </c>
      <c r="F8" s="388">
        <v>3.0</v>
      </c>
      <c r="G8" s="390" t="s">
        <v>26</v>
      </c>
      <c r="H8" s="402"/>
      <c r="I8" s="16"/>
    </row>
    <row r="9">
      <c r="A9" s="391" t="s">
        <v>245</v>
      </c>
      <c r="B9" s="326">
        <v>27.0</v>
      </c>
      <c r="C9" s="387" t="s">
        <v>399</v>
      </c>
      <c r="D9" s="326" t="s">
        <v>400</v>
      </c>
      <c r="E9" s="387">
        <v>9.0</v>
      </c>
      <c r="F9" s="387">
        <v>2.0</v>
      </c>
      <c r="G9" s="392" t="s">
        <v>19</v>
      </c>
      <c r="H9" s="383"/>
      <c r="I9" s="389"/>
    </row>
    <row r="10">
      <c r="A10" s="391" t="s">
        <v>263</v>
      </c>
      <c r="B10" s="326">
        <v>3.0</v>
      </c>
      <c r="C10" s="387" t="s">
        <v>166</v>
      </c>
      <c r="D10" s="326" t="s">
        <v>402</v>
      </c>
      <c r="E10" s="387">
        <v>1.0</v>
      </c>
      <c r="F10" s="387">
        <v>5.0</v>
      </c>
      <c r="G10" s="392" t="s">
        <v>26</v>
      </c>
      <c r="H10" s="402"/>
      <c r="I10" s="16"/>
    </row>
    <row r="11">
      <c r="A11" s="405" t="s">
        <v>17</v>
      </c>
      <c r="B11" s="409">
        <v>9.0</v>
      </c>
      <c r="C11" s="408" t="s">
        <v>381</v>
      </c>
      <c r="D11" s="409" t="s">
        <v>16</v>
      </c>
      <c r="E11" s="408">
        <v>11.0</v>
      </c>
      <c r="F11" s="408">
        <v>1.0</v>
      </c>
      <c r="G11" s="411" t="s">
        <v>19</v>
      </c>
      <c r="H11" s="402"/>
      <c r="I11" s="409" t="s">
        <v>19</v>
      </c>
    </row>
    <row r="12">
      <c r="A12" s="405" t="s">
        <v>17</v>
      </c>
      <c r="B12" s="409">
        <v>16.0</v>
      </c>
      <c r="C12" s="255" t="s">
        <v>345</v>
      </c>
      <c r="D12" s="409" t="s">
        <v>16</v>
      </c>
      <c r="E12" s="408">
        <v>8.0</v>
      </c>
      <c r="F12" s="408">
        <v>4.0</v>
      </c>
      <c r="G12" s="411" t="s">
        <v>19</v>
      </c>
      <c r="H12" s="402"/>
      <c r="I12" s="409" t="s">
        <v>19</v>
      </c>
    </row>
    <row r="13">
      <c r="A13" s="405" t="s">
        <v>17</v>
      </c>
      <c r="B13" s="409">
        <v>18.0</v>
      </c>
      <c r="C13" s="255" t="s">
        <v>253</v>
      </c>
      <c r="D13" s="409" t="s">
        <v>348</v>
      </c>
      <c r="E13" s="408">
        <v>10.0</v>
      </c>
      <c r="F13" s="408">
        <v>2.0</v>
      </c>
      <c r="G13" s="411" t="s">
        <v>19</v>
      </c>
      <c r="H13" s="402"/>
      <c r="I13" s="409" t="s">
        <v>19</v>
      </c>
    </row>
    <row r="14">
      <c r="A14" s="405" t="s">
        <v>17</v>
      </c>
      <c r="B14" s="409">
        <v>23.0</v>
      </c>
      <c r="C14" s="408" t="s">
        <v>338</v>
      </c>
      <c r="D14" s="409" t="s">
        <v>16</v>
      </c>
      <c r="E14" s="408">
        <v>10.0</v>
      </c>
      <c r="F14" s="408">
        <v>3.0</v>
      </c>
      <c r="G14" s="411" t="s">
        <v>19</v>
      </c>
      <c r="H14" s="402"/>
      <c r="I14" s="409" t="s">
        <v>19</v>
      </c>
    </row>
    <row r="15">
      <c r="A15" s="405" t="s">
        <v>17</v>
      </c>
      <c r="B15" s="409">
        <v>24.0</v>
      </c>
      <c r="C15" s="408" t="s">
        <v>225</v>
      </c>
      <c r="D15" s="409" t="s">
        <v>334</v>
      </c>
      <c r="E15" s="408">
        <v>8.0</v>
      </c>
      <c r="F15" s="408">
        <v>1.0</v>
      </c>
      <c r="G15" s="411" t="s">
        <v>19</v>
      </c>
      <c r="H15" s="402"/>
      <c r="I15" s="409" t="s">
        <v>19</v>
      </c>
    </row>
    <row r="16">
      <c r="A16" s="405" t="s">
        <v>17</v>
      </c>
      <c r="B16" s="409">
        <v>30.0</v>
      </c>
      <c r="C16" s="408" t="s">
        <v>356</v>
      </c>
      <c r="D16" s="409" t="s">
        <v>357</v>
      </c>
      <c r="E16" s="408">
        <v>9.0</v>
      </c>
      <c r="F16" s="408">
        <v>0.0</v>
      </c>
      <c r="G16" s="411" t="s">
        <v>19</v>
      </c>
      <c r="H16" s="402"/>
      <c r="I16" s="409" t="s">
        <v>19</v>
      </c>
    </row>
    <row r="17">
      <c r="A17" s="405" t="s">
        <v>34</v>
      </c>
      <c r="B17" s="409">
        <v>6.0</v>
      </c>
      <c r="C17" s="408" t="s">
        <v>361</v>
      </c>
      <c r="D17" s="409" t="s">
        <v>16</v>
      </c>
      <c r="E17" s="408">
        <v>13.0</v>
      </c>
      <c r="F17" s="408">
        <v>1.0</v>
      </c>
      <c r="G17" s="411" t="s">
        <v>19</v>
      </c>
      <c r="H17" s="402"/>
      <c r="I17" s="409" t="s">
        <v>19</v>
      </c>
    </row>
    <row r="18">
      <c r="A18" s="405" t="s">
        <v>34</v>
      </c>
      <c r="B18" s="409">
        <v>7.0</v>
      </c>
      <c r="C18" s="408" t="s">
        <v>248</v>
      </c>
      <c r="D18" s="409" t="s">
        <v>350</v>
      </c>
      <c r="E18" s="408">
        <v>7.0</v>
      </c>
      <c r="F18" s="408">
        <v>5.0</v>
      </c>
      <c r="G18" s="411" t="s">
        <v>19</v>
      </c>
      <c r="H18" s="402"/>
      <c r="I18" s="409" t="s">
        <v>19</v>
      </c>
    </row>
    <row r="19">
      <c r="A19" s="405" t="s">
        <v>34</v>
      </c>
      <c r="B19" s="409">
        <v>14.0</v>
      </c>
      <c r="C19" s="408" t="s">
        <v>258</v>
      </c>
      <c r="D19" s="409" t="s">
        <v>407</v>
      </c>
      <c r="E19" s="408">
        <v>3.0</v>
      </c>
      <c r="F19" s="408">
        <v>7.0</v>
      </c>
      <c r="G19" s="411" t="s">
        <v>26</v>
      </c>
      <c r="H19" s="402"/>
      <c r="I19" s="409" t="s">
        <v>26</v>
      </c>
    </row>
    <row r="20">
      <c r="A20" s="405" t="s">
        <v>34</v>
      </c>
      <c r="B20" s="409">
        <v>15.0</v>
      </c>
      <c r="C20" s="408" t="s">
        <v>394</v>
      </c>
      <c r="D20" s="409" t="s">
        <v>303</v>
      </c>
      <c r="E20" s="408" t="s">
        <v>221</v>
      </c>
      <c r="F20" s="18"/>
      <c r="G20" s="453"/>
      <c r="H20" s="402"/>
      <c r="I20" s="16"/>
    </row>
    <row r="21">
      <c r="A21" s="405" t="s">
        <v>34</v>
      </c>
      <c r="B21" s="454">
        <v>20.0</v>
      </c>
      <c r="C21" s="408" t="s">
        <v>381</v>
      </c>
      <c r="D21" s="409" t="s">
        <v>16</v>
      </c>
      <c r="E21" s="408">
        <v>8.0</v>
      </c>
      <c r="F21" s="408">
        <v>0.0</v>
      </c>
      <c r="G21" s="411" t="s">
        <v>19</v>
      </c>
      <c r="H21" s="402"/>
      <c r="I21" s="409" t="s">
        <v>19</v>
      </c>
    </row>
    <row r="22">
      <c r="A22" s="405" t="s">
        <v>34</v>
      </c>
      <c r="B22" s="454">
        <v>22.0</v>
      </c>
      <c r="C22" s="408" t="s">
        <v>347</v>
      </c>
      <c r="D22" s="409" t="s">
        <v>348</v>
      </c>
      <c r="E22" s="408">
        <v>4.0</v>
      </c>
      <c r="F22" s="408">
        <v>1.0</v>
      </c>
      <c r="G22" s="411" t="s">
        <v>19</v>
      </c>
      <c r="H22" s="402"/>
      <c r="I22" s="409" t="s">
        <v>19</v>
      </c>
    </row>
    <row r="23">
      <c r="A23" s="405" t="s">
        <v>61</v>
      </c>
      <c r="B23" s="409">
        <v>5.0</v>
      </c>
      <c r="C23" s="408" t="s">
        <v>258</v>
      </c>
      <c r="D23" s="409" t="s">
        <v>409</v>
      </c>
      <c r="E23" s="408">
        <v>1.0</v>
      </c>
      <c r="F23" s="408">
        <v>2.0</v>
      </c>
      <c r="G23" s="411" t="s">
        <v>48</v>
      </c>
      <c r="H23" s="402"/>
      <c r="I23" s="409" t="s">
        <v>48</v>
      </c>
    </row>
    <row r="24">
      <c r="A24" s="391" t="s">
        <v>349</v>
      </c>
      <c r="B24" s="326">
        <v>6.0</v>
      </c>
      <c r="C24" s="387" t="s">
        <v>331</v>
      </c>
      <c r="D24" s="326" t="s">
        <v>303</v>
      </c>
      <c r="E24" s="387" t="s">
        <v>221</v>
      </c>
      <c r="F24" s="422"/>
      <c r="G24" s="423"/>
      <c r="H24" s="402"/>
      <c r="I24" s="16"/>
    </row>
    <row r="25">
      <c r="A25" s="405" t="s">
        <v>61</v>
      </c>
      <c r="B25" s="409">
        <v>11.0</v>
      </c>
      <c r="C25" s="255" t="s">
        <v>339</v>
      </c>
      <c r="D25" s="409" t="s">
        <v>16</v>
      </c>
      <c r="E25" s="408">
        <v>11.0</v>
      </c>
      <c r="F25" s="408">
        <v>2.0</v>
      </c>
      <c r="G25" s="411" t="s">
        <v>19</v>
      </c>
      <c r="H25" s="402"/>
      <c r="I25" s="409" t="s">
        <v>19</v>
      </c>
    </row>
    <row r="26">
      <c r="A26" s="405" t="s">
        <v>68</v>
      </c>
      <c r="B26" s="409">
        <v>22.0</v>
      </c>
      <c r="C26" s="408" t="s">
        <v>274</v>
      </c>
      <c r="D26" s="409" t="s">
        <v>411</v>
      </c>
      <c r="E26" s="408">
        <v>6.0</v>
      </c>
      <c r="F26" s="408">
        <v>3.0</v>
      </c>
      <c r="G26" s="411" t="s">
        <v>19</v>
      </c>
      <c r="H26" s="402"/>
      <c r="I26" s="409" t="s">
        <v>19</v>
      </c>
    </row>
    <row r="27">
      <c r="A27" s="391" t="s">
        <v>298</v>
      </c>
      <c r="B27" s="326">
        <v>29.0</v>
      </c>
      <c r="C27" s="387" t="s">
        <v>206</v>
      </c>
      <c r="D27" s="326" t="s">
        <v>368</v>
      </c>
      <c r="E27" s="387">
        <v>8.0</v>
      </c>
      <c r="F27" s="387">
        <v>2.0</v>
      </c>
      <c r="G27" s="392" t="s">
        <v>19</v>
      </c>
      <c r="H27" s="402"/>
      <c r="I27" s="16"/>
    </row>
    <row r="28">
      <c r="A28" s="405" t="s">
        <v>74</v>
      </c>
      <c r="B28" s="409">
        <v>4.0</v>
      </c>
      <c r="C28" s="408" t="s">
        <v>274</v>
      </c>
      <c r="D28" s="409" t="s">
        <v>413</v>
      </c>
      <c r="E28" s="408">
        <v>7.0</v>
      </c>
      <c r="F28" s="408">
        <v>4.0</v>
      </c>
      <c r="G28" s="411" t="s">
        <v>19</v>
      </c>
      <c r="H28" s="402"/>
      <c r="I28" s="409" t="s">
        <v>19</v>
      </c>
    </row>
    <row r="29">
      <c r="A29" s="405" t="s">
        <v>74</v>
      </c>
      <c r="B29" s="409">
        <v>5.0</v>
      </c>
      <c r="C29" s="408" t="s">
        <v>366</v>
      </c>
      <c r="D29" s="409" t="s">
        <v>16</v>
      </c>
      <c r="E29" s="408">
        <v>5.0</v>
      </c>
      <c r="F29" s="408">
        <v>1.0</v>
      </c>
      <c r="G29" s="411" t="s">
        <v>19</v>
      </c>
      <c r="H29" s="402"/>
      <c r="I29" s="409" t="s">
        <v>19</v>
      </c>
    </row>
    <row r="30">
      <c r="A30" s="435" t="s">
        <v>74</v>
      </c>
      <c r="B30" s="438">
        <v>12.0</v>
      </c>
      <c r="C30" s="439" t="s">
        <v>331</v>
      </c>
      <c r="D30" s="438" t="s">
        <v>16</v>
      </c>
      <c r="E30" s="439">
        <v>1.0</v>
      </c>
      <c r="F30" s="439">
        <v>9.0</v>
      </c>
      <c r="G30" s="440" t="s">
        <v>26</v>
      </c>
      <c r="H30" s="402"/>
      <c r="I30" s="409" t="s">
        <v>26</v>
      </c>
    </row>
    <row r="31">
      <c r="A31" s="365"/>
      <c r="B31" s="367"/>
      <c r="C31" s="369"/>
      <c r="D31" s="367"/>
      <c r="E31" s="369"/>
      <c r="F31" s="369"/>
      <c r="G31" s="371"/>
      <c r="H31" s="402"/>
      <c r="I31" s="16"/>
    </row>
    <row r="32" ht="27.75" customHeight="1">
      <c r="A32" s="434" t="s">
        <v>414</v>
      </c>
      <c r="B32" s="13"/>
      <c r="C32" s="13"/>
      <c r="D32" s="13"/>
      <c r="E32" s="13"/>
      <c r="F32" s="13"/>
      <c r="G32" s="14"/>
      <c r="H32" s="441"/>
      <c r="I32" s="16"/>
    </row>
    <row r="33">
      <c r="A33" s="424" t="s">
        <v>74</v>
      </c>
      <c r="B33" s="467">
        <v>19.0</v>
      </c>
      <c r="C33" s="252" t="s">
        <v>227</v>
      </c>
      <c r="D33" s="426" t="s">
        <v>80</v>
      </c>
      <c r="E33" s="252">
        <v>7.0</v>
      </c>
      <c r="F33" s="252">
        <v>0.0</v>
      </c>
      <c r="G33" s="427" t="s">
        <v>19</v>
      </c>
      <c r="H33" s="402"/>
      <c r="I33" s="409" t="s">
        <v>19</v>
      </c>
    </row>
    <row r="34">
      <c r="A34" s="435" t="s">
        <v>74</v>
      </c>
      <c r="B34" s="468">
        <v>21.0</v>
      </c>
      <c r="C34" s="439" t="s">
        <v>69</v>
      </c>
      <c r="D34" s="438" t="s">
        <v>80</v>
      </c>
      <c r="E34" s="439">
        <v>6.0</v>
      </c>
      <c r="F34" s="439">
        <v>5.0</v>
      </c>
      <c r="G34" s="440" t="s">
        <v>19</v>
      </c>
      <c r="H34" s="402"/>
      <c r="I34" s="409" t="s">
        <v>19</v>
      </c>
    </row>
    <row r="35" ht="18.0" customHeight="1">
      <c r="A35" s="374" t="s">
        <v>419</v>
      </c>
      <c r="B35" s="132"/>
      <c r="C35" s="132"/>
      <c r="D35" s="375" t="s">
        <v>314</v>
      </c>
      <c r="E35" s="377">
        <f t="shared" ref="E35:F35" si="1">SUM(E8:E34)</f>
        <v>155</v>
      </c>
      <c r="F35" s="377">
        <f t="shared" si="1"/>
        <v>63</v>
      </c>
      <c r="G35" s="378"/>
      <c r="H35" s="383"/>
      <c r="I35" s="389"/>
    </row>
  </sheetData>
  <mergeCells count="3">
    <mergeCell ref="A5:G6"/>
    <mergeCell ref="A32:G32"/>
    <mergeCell ref="A35:C3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5.88"/>
    <col customWidth="1" min="2" max="2" width="3.63"/>
    <col customWidth="1" min="3" max="3" width="27.75"/>
    <col customWidth="1" min="4" max="4" width="42.13"/>
    <col customWidth="1" min="5" max="5" width="3.0"/>
    <col customWidth="1" min="6" max="6" width="4.38"/>
    <col customWidth="1" min="7" max="7" width="6.63"/>
    <col customWidth="1" min="8" max="8" width="7.75"/>
    <col customWidth="1" min="9" max="9" width="6.63"/>
  </cols>
  <sheetData>
    <row r="1">
      <c r="A1" s="264"/>
      <c r="B1" s="265"/>
      <c r="C1" s="266" t="s">
        <v>0</v>
      </c>
      <c r="D1" s="4" t="str">
        <f>COUNTIF(G5:G29,"W")&amp;"-"&amp;COUNTIF(G5:G29,"L")&amp;"-"&amp;COUNTIF(G5:G29,"T")&amp;"-"&amp;COUNTIF(G5:G29,"OTL")</f>
        <v>10-9-0-1</v>
      </c>
      <c r="E1" s="271"/>
      <c r="F1" s="271"/>
      <c r="G1" s="273"/>
      <c r="H1" s="383"/>
      <c r="I1" s="384"/>
    </row>
    <row r="2">
      <c r="A2" s="277"/>
      <c r="B2" s="280"/>
      <c r="C2" s="242" t="s">
        <v>1</v>
      </c>
      <c r="D2" s="10" t="str">
        <f>COUNTIF(I5:I30,"W")&amp;"-"&amp;COUNTIF(I5:I30,"L")&amp;"-"&amp;COUNTIF(I5:I30,"T")&amp;"-"&amp;COUNTIF(I5:I30,"OTL")</f>
        <v>8-9-0-1</v>
      </c>
      <c r="E2" s="286"/>
      <c r="F2" s="286"/>
      <c r="G2" s="287"/>
      <c r="H2" s="383"/>
      <c r="I2" s="389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389"/>
    </row>
    <row r="4">
      <c r="A4" s="299"/>
      <c r="B4" s="300"/>
      <c r="C4" s="301"/>
      <c r="D4" s="303"/>
      <c r="E4" s="304"/>
      <c r="F4" s="304"/>
      <c r="G4" s="305"/>
      <c r="H4" s="383"/>
      <c r="I4" s="395" t="s">
        <v>4</v>
      </c>
    </row>
    <row r="5">
      <c r="A5" s="382" t="s">
        <v>408</v>
      </c>
      <c r="B5" s="3"/>
      <c r="C5" s="3"/>
      <c r="D5" s="3"/>
      <c r="E5" s="3"/>
      <c r="F5" s="3"/>
      <c r="G5" s="5"/>
      <c r="H5" s="397"/>
      <c r="I5" s="389"/>
    </row>
    <row r="6">
      <c r="A6" s="310"/>
      <c r="B6" s="13"/>
      <c r="C6" s="13"/>
      <c r="D6" s="13"/>
      <c r="E6" s="13"/>
      <c r="F6" s="13"/>
      <c r="G6" s="14"/>
      <c r="H6" s="397"/>
      <c r="I6" s="389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389"/>
    </row>
    <row r="8">
      <c r="A8" s="459" t="s">
        <v>245</v>
      </c>
      <c r="B8" s="460">
        <v>26.0</v>
      </c>
      <c r="C8" s="461" t="s">
        <v>274</v>
      </c>
      <c r="D8" s="460" t="s">
        <v>411</v>
      </c>
      <c r="E8" s="461">
        <v>8.0</v>
      </c>
      <c r="F8" s="461">
        <v>5.0</v>
      </c>
      <c r="G8" s="462" t="s">
        <v>19</v>
      </c>
      <c r="H8" s="402"/>
      <c r="I8" s="16"/>
    </row>
    <row r="9">
      <c r="A9" s="463" t="s">
        <v>263</v>
      </c>
      <c r="B9" s="464">
        <v>3.0</v>
      </c>
      <c r="C9" s="465" t="s">
        <v>415</v>
      </c>
      <c r="D9" s="464" t="s">
        <v>350</v>
      </c>
      <c r="E9" s="465">
        <v>5.0</v>
      </c>
      <c r="F9" s="465">
        <v>3.0</v>
      </c>
      <c r="G9" s="466" t="s">
        <v>19</v>
      </c>
      <c r="H9" s="383"/>
      <c r="I9" s="389"/>
    </row>
    <row r="10">
      <c r="A10" s="405" t="s">
        <v>17</v>
      </c>
      <c r="B10" s="409">
        <v>10.0</v>
      </c>
      <c r="C10" s="408" t="s">
        <v>352</v>
      </c>
      <c r="D10" s="409" t="s">
        <v>16</v>
      </c>
      <c r="E10" s="408">
        <v>6.0</v>
      </c>
      <c r="F10" s="408">
        <v>3.0</v>
      </c>
      <c r="G10" s="411" t="s">
        <v>19</v>
      </c>
      <c r="H10" s="402"/>
      <c r="I10" s="409" t="s">
        <v>19</v>
      </c>
    </row>
    <row r="11">
      <c r="A11" s="405" t="s">
        <v>17</v>
      </c>
      <c r="B11" s="409">
        <v>17.0</v>
      </c>
      <c r="C11" s="408" t="s">
        <v>364</v>
      </c>
      <c r="D11" s="409" t="s">
        <v>16</v>
      </c>
      <c r="E11" s="408">
        <v>0.0</v>
      </c>
      <c r="F11" s="408">
        <v>7.0</v>
      </c>
      <c r="G11" s="411" t="s">
        <v>26</v>
      </c>
      <c r="H11" s="402"/>
      <c r="I11" s="409" t="s">
        <v>26</v>
      </c>
    </row>
    <row r="12">
      <c r="A12" s="405" t="s">
        <v>17</v>
      </c>
      <c r="B12" s="409">
        <v>19.0</v>
      </c>
      <c r="C12" s="408" t="s">
        <v>335</v>
      </c>
      <c r="D12" s="409" t="s">
        <v>91</v>
      </c>
      <c r="E12" s="408">
        <v>4.0</v>
      </c>
      <c r="F12" s="408">
        <v>10.0</v>
      </c>
      <c r="G12" s="411" t="s">
        <v>26</v>
      </c>
      <c r="H12" s="402"/>
      <c r="I12" s="409" t="s">
        <v>26</v>
      </c>
    </row>
    <row r="13">
      <c r="A13" s="405" t="s">
        <v>17</v>
      </c>
      <c r="B13" s="409">
        <v>24.0</v>
      </c>
      <c r="C13" s="408" t="s">
        <v>418</v>
      </c>
      <c r="D13" s="409" t="s">
        <v>16</v>
      </c>
      <c r="E13" s="408">
        <v>0.0</v>
      </c>
      <c r="F13" s="408">
        <v>7.0</v>
      </c>
      <c r="G13" s="411" t="s">
        <v>26</v>
      </c>
      <c r="H13" s="402"/>
      <c r="I13" s="409" t="s">
        <v>26</v>
      </c>
    </row>
    <row r="14">
      <c r="A14" s="405" t="s">
        <v>17</v>
      </c>
      <c r="B14" s="409">
        <v>28.0</v>
      </c>
      <c r="C14" s="408" t="s">
        <v>225</v>
      </c>
      <c r="D14" s="409" t="s">
        <v>420</v>
      </c>
      <c r="E14" s="408">
        <v>8.0</v>
      </c>
      <c r="F14" s="408">
        <v>3.0</v>
      </c>
      <c r="G14" s="411" t="s">
        <v>19</v>
      </c>
      <c r="H14" s="402"/>
      <c r="I14" s="409" t="s">
        <v>19</v>
      </c>
    </row>
    <row r="15">
      <c r="A15" s="405" t="s">
        <v>34</v>
      </c>
      <c r="B15" s="409">
        <v>1.0</v>
      </c>
      <c r="C15" s="408" t="s">
        <v>186</v>
      </c>
      <c r="D15" s="409" t="s">
        <v>177</v>
      </c>
      <c r="E15" s="408">
        <v>2.0</v>
      </c>
      <c r="F15" s="408">
        <v>9.0</v>
      </c>
      <c r="G15" s="411" t="s">
        <v>26</v>
      </c>
      <c r="H15" s="402"/>
      <c r="I15" s="409" t="s">
        <v>26</v>
      </c>
    </row>
    <row r="16">
      <c r="A16" s="405" t="s">
        <v>34</v>
      </c>
      <c r="B16" s="409">
        <v>8.0</v>
      </c>
      <c r="C16" s="408" t="s">
        <v>356</v>
      </c>
      <c r="D16" s="409" t="s">
        <v>416</v>
      </c>
      <c r="E16" s="408">
        <v>10.0</v>
      </c>
      <c r="F16" s="408">
        <v>5.0</v>
      </c>
      <c r="G16" s="411" t="s">
        <v>19</v>
      </c>
      <c r="H16" s="402"/>
      <c r="I16" s="409" t="s">
        <v>19</v>
      </c>
    </row>
    <row r="17">
      <c r="A17" s="405" t="s">
        <v>34</v>
      </c>
      <c r="B17" s="409">
        <v>14.0</v>
      </c>
      <c r="C17" s="408" t="s">
        <v>206</v>
      </c>
      <c r="D17" s="409" t="s">
        <v>368</v>
      </c>
      <c r="E17" s="408">
        <v>4.0</v>
      </c>
      <c r="F17" s="408">
        <v>0.0</v>
      </c>
      <c r="G17" s="411" t="s">
        <v>19</v>
      </c>
      <c r="H17" s="402"/>
      <c r="I17" s="409" t="s">
        <v>19</v>
      </c>
    </row>
    <row r="18">
      <c r="A18" s="405" t="s">
        <v>34</v>
      </c>
      <c r="B18" s="409">
        <v>15.0</v>
      </c>
      <c r="C18" s="408" t="s">
        <v>421</v>
      </c>
      <c r="D18" s="409" t="s">
        <v>422</v>
      </c>
      <c r="E18" s="408">
        <v>0.0</v>
      </c>
      <c r="F18" s="408">
        <v>6.0</v>
      </c>
      <c r="G18" s="411" t="s">
        <v>26</v>
      </c>
      <c r="H18" s="402"/>
      <c r="I18" s="409" t="s">
        <v>26</v>
      </c>
    </row>
    <row r="19">
      <c r="A19" s="405" t="s">
        <v>34</v>
      </c>
      <c r="B19" s="409">
        <v>21.0</v>
      </c>
      <c r="C19" s="408" t="s">
        <v>338</v>
      </c>
      <c r="D19" s="409" t="s">
        <v>16</v>
      </c>
      <c r="E19" s="408">
        <v>5.0</v>
      </c>
      <c r="F19" s="408">
        <v>2.0</v>
      </c>
      <c r="G19" s="411" t="s">
        <v>19</v>
      </c>
      <c r="H19" s="402"/>
      <c r="I19" s="409" t="s">
        <v>19</v>
      </c>
    </row>
    <row r="20">
      <c r="A20" s="405" t="s">
        <v>61</v>
      </c>
      <c r="B20" s="409">
        <v>12.0</v>
      </c>
      <c r="C20" s="408" t="s">
        <v>330</v>
      </c>
      <c r="D20" s="409" t="s">
        <v>16</v>
      </c>
      <c r="E20" s="408">
        <v>8.0</v>
      </c>
      <c r="F20" s="408">
        <v>2.0</v>
      </c>
      <c r="G20" s="411" t="s">
        <v>19</v>
      </c>
      <c r="H20" s="402"/>
      <c r="I20" s="409" t="s">
        <v>19</v>
      </c>
    </row>
    <row r="21">
      <c r="A21" s="405" t="s">
        <v>68</v>
      </c>
      <c r="B21" s="454">
        <v>23.0</v>
      </c>
      <c r="C21" s="408" t="s">
        <v>424</v>
      </c>
      <c r="D21" s="409" t="s">
        <v>16</v>
      </c>
      <c r="E21" s="408">
        <v>11.0</v>
      </c>
      <c r="F21" s="408">
        <v>3.0</v>
      </c>
      <c r="G21" s="411" t="s">
        <v>19</v>
      </c>
      <c r="H21" s="402"/>
      <c r="I21" s="409" t="s">
        <v>19</v>
      </c>
    </row>
    <row r="22">
      <c r="A22" s="405" t="s">
        <v>68</v>
      </c>
      <c r="B22" s="454">
        <v>24.0</v>
      </c>
      <c r="C22" s="408" t="s">
        <v>166</v>
      </c>
      <c r="D22" s="409" t="s">
        <v>402</v>
      </c>
      <c r="E22" s="408">
        <v>3.0</v>
      </c>
      <c r="F22" s="408">
        <v>4.0</v>
      </c>
      <c r="G22" s="411" t="s">
        <v>48</v>
      </c>
      <c r="H22" s="402"/>
      <c r="I22" s="409" t="s">
        <v>48</v>
      </c>
    </row>
    <row r="23">
      <c r="A23" s="405" t="s">
        <v>74</v>
      </c>
      <c r="B23" s="409">
        <v>6.0</v>
      </c>
      <c r="C23" s="408" t="s">
        <v>331</v>
      </c>
      <c r="D23" s="409" t="s">
        <v>16</v>
      </c>
      <c r="E23" s="408">
        <v>2.0</v>
      </c>
      <c r="F23" s="408">
        <v>8.0</v>
      </c>
      <c r="G23" s="411" t="s">
        <v>26</v>
      </c>
      <c r="H23" s="402"/>
      <c r="I23" s="409" t="s">
        <v>26</v>
      </c>
    </row>
    <row r="24">
      <c r="A24" s="405" t="s">
        <v>74</v>
      </c>
      <c r="B24" s="409">
        <v>8.0</v>
      </c>
      <c r="C24" s="408" t="s">
        <v>347</v>
      </c>
      <c r="D24" s="409" t="s">
        <v>348</v>
      </c>
      <c r="E24" s="408">
        <v>1.0</v>
      </c>
      <c r="F24" s="408">
        <v>4.0</v>
      </c>
      <c r="G24" s="411" t="s">
        <v>26</v>
      </c>
      <c r="H24" s="402"/>
      <c r="I24" s="409" t="s">
        <v>26</v>
      </c>
    </row>
    <row r="25">
      <c r="A25" s="435" t="s">
        <v>74</v>
      </c>
      <c r="B25" s="438">
        <v>13.0</v>
      </c>
      <c r="C25" s="439" t="s">
        <v>425</v>
      </c>
      <c r="D25" s="438" t="s">
        <v>16</v>
      </c>
      <c r="E25" s="439">
        <v>5.0</v>
      </c>
      <c r="F25" s="439">
        <v>6.0</v>
      </c>
      <c r="G25" s="440" t="s">
        <v>26</v>
      </c>
      <c r="H25" s="402"/>
      <c r="I25" s="409" t="s">
        <v>26</v>
      </c>
    </row>
    <row r="26">
      <c r="A26" s="365"/>
      <c r="B26" s="367"/>
      <c r="C26" s="369"/>
      <c r="D26" s="367"/>
      <c r="E26" s="369"/>
      <c r="F26" s="369"/>
      <c r="G26" s="371"/>
      <c r="H26" s="402"/>
      <c r="I26" s="16"/>
    </row>
    <row r="27" ht="27.75" customHeight="1">
      <c r="A27" s="434" t="s">
        <v>426</v>
      </c>
      <c r="B27" s="13"/>
      <c r="C27" s="13"/>
      <c r="D27" s="13"/>
      <c r="E27" s="13"/>
      <c r="F27" s="13"/>
      <c r="G27" s="14"/>
      <c r="H27" s="441"/>
      <c r="I27" s="16"/>
    </row>
    <row r="28">
      <c r="A28" s="424" t="s">
        <v>74</v>
      </c>
      <c r="B28" s="467">
        <v>20.0</v>
      </c>
      <c r="C28" s="252" t="s">
        <v>361</v>
      </c>
      <c r="D28" s="426" t="s">
        <v>427</v>
      </c>
      <c r="E28" s="426">
        <v>5.0</v>
      </c>
      <c r="F28" s="426">
        <v>0.0</v>
      </c>
      <c r="G28" s="427" t="s">
        <v>19</v>
      </c>
      <c r="H28" s="402"/>
      <c r="I28" s="409" t="s">
        <v>19</v>
      </c>
    </row>
    <row r="29">
      <c r="A29" s="435" t="s">
        <v>74</v>
      </c>
      <c r="B29" s="468">
        <v>22.0</v>
      </c>
      <c r="C29" s="439" t="s">
        <v>166</v>
      </c>
      <c r="D29" s="438" t="s">
        <v>402</v>
      </c>
      <c r="E29" s="438">
        <v>0.0</v>
      </c>
      <c r="F29" s="438">
        <v>1.0</v>
      </c>
      <c r="G29" s="440" t="s">
        <v>26</v>
      </c>
      <c r="H29" s="402"/>
      <c r="I29" s="409" t="s">
        <v>26</v>
      </c>
    </row>
    <row r="30" ht="18.0" customHeight="1">
      <c r="A30" s="374" t="s">
        <v>419</v>
      </c>
      <c r="B30" s="132"/>
      <c r="C30" s="132"/>
      <c r="D30" s="375" t="s">
        <v>314</v>
      </c>
      <c r="E30" s="377">
        <f t="shared" ref="E30:F30" si="1">SUM(E8:E29)</f>
        <v>87</v>
      </c>
      <c r="F30" s="377">
        <f t="shared" si="1"/>
        <v>88</v>
      </c>
      <c r="G30" s="378"/>
      <c r="H30" s="383"/>
      <c r="I30" s="389"/>
    </row>
  </sheetData>
  <mergeCells count="3">
    <mergeCell ref="A5:G6"/>
    <mergeCell ref="A27:G27"/>
    <mergeCell ref="A30:C3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0"/>
    <col customWidth="1" min="2" max="2" width="2.75"/>
    <col customWidth="1" min="3" max="3" width="28.13"/>
    <col customWidth="1" min="4" max="4" width="39.13"/>
    <col customWidth="1" min="5" max="5" width="5.25"/>
    <col customWidth="1" min="6" max="6" width="4.38"/>
    <col customWidth="1" min="7" max="7" width="6.63"/>
    <col customWidth="1" min="8" max="8" width="7.75"/>
    <col customWidth="1" min="9" max="9" width="6.63"/>
  </cols>
  <sheetData>
    <row r="1">
      <c r="A1" s="264"/>
      <c r="B1" s="265"/>
      <c r="C1" s="266" t="s">
        <v>0</v>
      </c>
      <c r="D1" s="4" t="str">
        <f>COUNTIF(G5:G29,"W")&amp;"-"&amp;COUNTIF(G5:G29,"L")&amp;"-"&amp;COUNTIF(G5:G29,"T")&amp;"-"&amp;COUNTIF(G5:G29,"OTL")</f>
        <v>10-9-0-0</v>
      </c>
      <c r="E1" s="271"/>
      <c r="F1" s="271"/>
      <c r="G1" s="273"/>
      <c r="H1" s="383"/>
      <c r="I1" s="384"/>
    </row>
    <row r="2">
      <c r="A2" s="277"/>
      <c r="B2" s="280"/>
      <c r="C2" s="242" t="s">
        <v>1</v>
      </c>
      <c r="D2" s="10" t="str">
        <f>COUNTIF(I5:I30,"W")&amp;"-"&amp;COUNTIF(I5:I30,"L")&amp;"-"&amp;COUNTIF(I5:I30,"T")&amp;"-"&amp;COUNTIF(I5:I30,"OTL")</f>
        <v>9-8-0-0</v>
      </c>
      <c r="E2" s="286"/>
      <c r="F2" s="286"/>
      <c r="G2" s="287"/>
      <c r="H2" s="383"/>
      <c r="I2" s="389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389"/>
    </row>
    <row r="4">
      <c r="A4" s="299"/>
      <c r="B4" s="300"/>
      <c r="C4" s="301"/>
      <c r="D4" s="303"/>
      <c r="E4" s="304"/>
      <c r="F4" s="304"/>
      <c r="G4" s="305"/>
      <c r="H4" s="383"/>
      <c r="I4" s="395" t="s">
        <v>4</v>
      </c>
    </row>
    <row r="5">
      <c r="A5" s="382" t="s">
        <v>428</v>
      </c>
      <c r="B5" s="3"/>
      <c r="C5" s="3"/>
      <c r="D5" s="3"/>
      <c r="E5" s="3"/>
      <c r="F5" s="3"/>
      <c r="G5" s="5"/>
      <c r="H5" s="397"/>
      <c r="I5" s="389"/>
    </row>
    <row r="6">
      <c r="A6" s="310"/>
      <c r="B6" s="13"/>
      <c r="C6" s="13"/>
      <c r="D6" s="13"/>
      <c r="E6" s="13"/>
      <c r="F6" s="13"/>
      <c r="G6" s="14"/>
      <c r="H6" s="397"/>
      <c r="I6" s="389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389"/>
    </row>
    <row r="8">
      <c r="A8" s="459" t="s">
        <v>263</v>
      </c>
      <c r="B8" s="460">
        <v>5.0</v>
      </c>
      <c r="C8" s="461" t="s">
        <v>274</v>
      </c>
      <c r="D8" s="460" t="s">
        <v>411</v>
      </c>
      <c r="E8" s="461">
        <v>5.0</v>
      </c>
      <c r="F8" s="461">
        <v>3.0</v>
      </c>
      <c r="G8" s="462" t="s">
        <v>19</v>
      </c>
      <c r="H8" s="402"/>
      <c r="I8" s="16"/>
    </row>
    <row r="9">
      <c r="A9" s="463" t="s">
        <v>263</v>
      </c>
      <c r="B9" s="464">
        <v>6.0</v>
      </c>
      <c r="C9" s="465" t="s">
        <v>248</v>
      </c>
      <c r="D9" s="464" t="s">
        <v>350</v>
      </c>
      <c r="E9" s="465" t="s">
        <v>221</v>
      </c>
      <c r="F9" s="469"/>
      <c r="G9" s="470"/>
      <c r="H9" s="383"/>
      <c r="I9" s="389"/>
    </row>
    <row r="10">
      <c r="A10" s="463" t="s">
        <v>263</v>
      </c>
      <c r="B10" s="464">
        <v>12.0</v>
      </c>
      <c r="C10" s="465" t="s">
        <v>429</v>
      </c>
      <c r="D10" s="464" t="s">
        <v>16</v>
      </c>
      <c r="E10" s="465">
        <v>1.0</v>
      </c>
      <c r="F10" s="465">
        <v>6.0</v>
      </c>
      <c r="G10" s="466" t="s">
        <v>26</v>
      </c>
      <c r="H10" s="402"/>
      <c r="I10" s="16"/>
    </row>
    <row r="11">
      <c r="A11" s="405" t="s">
        <v>17</v>
      </c>
      <c r="B11" s="409">
        <v>13.0</v>
      </c>
      <c r="C11" s="408" t="s">
        <v>431</v>
      </c>
      <c r="D11" s="409" t="s">
        <v>360</v>
      </c>
      <c r="E11" s="408">
        <v>9.0</v>
      </c>
      <c r="F11" s="408">
        <v>3.0</v>
      </c>
      <c r="G11" s="411" t="s">
        <v>19</v>
      </c>
      <c r="H11" s="402"/>
      <c r="I11" s="409" t="s">
        <v>19</v>
      </c>
    </row>
    <row r="12">
      <c r="A12" s="405" t="s">
        <v>17</v>
      </c>
      <c r="B12" s="409">
        <v>19.0</v>
      </c>
      <c r="C12" s="408" t="s">
        <v>331</v>
      </c>
      <c r="D12" s="409" t="s">
        <v>16</v>
      </c>
      <c r="E12" s="408">
        <v>2.0</v>
      </c>
      <c r="F12" s="408">
        <v>8.0</v>
      </c>
      <c r="G12" s="411" t="s">
        <v>26</v>
      </c>
      <c r="H12" s="402"/>
      <c r="I12" s="409" t="s">
        <v>26</v>
      </c>
    </row>
    <row r="13">
      <c r="A13" s="405" t="s">
        <v>17</v>
      </c>
      <c r="B13" s="409">
        <v>26.0</v>
      </c>
      <c r="C13" s="408" t="s">
        <v>361</v>
      </c>
      <c r="D13" s="409" t="s">
        <v>16</v>
      </c>
      <c r="E13" s="408">
        <v>5.0</v>
      </c>
      <c r="F13" s="408">
        <v>4.0</v>
      </c>
      <c r="G13" s="411" t="s">
        <v>19</v>
      </c>
      <c r="H13" s="402"/>
      <c r="I13" s="409" t="s">
        <v>19</v>
      </c>
    </row>
    <row r="14">
      <c r="A14" s="405" t="s">
        <v>34</v>
      </c>
      <c r="B14" s="409">
        <v>3.0</v>
      </c>
      <c r="C14" s="408" t="s">
        <v>206</v>
      </c>
      <c r="D14" s="409" t="s">
        <v>432</v>
      </c>
      <c r="E14" s="408">
        <v>4.0</v>
      </c>
      <c r="F14" s="408">
        <v>6.0</v>
      </c>
      <c r="G14" s="411" t="s">
        <v>26</v>
      </c>
      <c r="H14" s="402"/>
      <c r="I14" s="409" t="s">
        <v>26</v>
      </c>
    </row>
    <row r="15">
      <c r="A15" s="405" t="s">
        <v>34</v>
      </c>
      <c r="B15" s="409">
        <v>9.0</v>
      </c>
      <c r="C15" s="408" t="s">
        <v>364</v>
      </c>
      <c r="D15" s="409" t="s">
        <v>16</v>
      </c>
      <c r="E15" s="408">
        <v>3.0</v>
      </c>
      <c r="F15" s="408">
        <v>6.0</v>
      </c>
      <c r="G15" s="411" t="s">
        <v>26</v>
      </c>
      <c r="H15" s="402"/>
      <c r="I15" s="409" t="s">
        <v>26</v>
      </c>
    </row>
    <row r="16">
      <c r="A16" s="405" t="s">
        <v>34</v>
      </c>
      <c r="B16" s="409">
        <v>16.0</v>
      </c>
      <c r="C16" s="408" t="s">
        <v>433</v>
      </c>
      <c r="D16" s="409" t="s">
        <v>16</v>
      </c>
      <c r="E16" s="408">
        <v>9.0</v>
      </c>
      <c r="F16" s="408">
        <v>2.0</v>
      </c>
      <c r="G16" s="411" t="s">
        <v>19</v>
      </c>
      <c r="H16" s="402"/>
      <c r="I16" s="409" t="s">
        <v>19</v>
      </c>
    </row>
    <row r="17">
      <c r="A17" s="405" t="s">
        <v>434</v>
      </c>
      <c r="B17" s="409">
        <v>17.0</v>
      </c>
      <c r="C17" s="408" t="s">
        <v>335</v>
      </c>
      <c r="D17" s="409" t="s">
        <v>91</v>
      </c>
      <c r="E17" s="408">
        <v>1.0</v>
      </c>
      <c r="F17" s="408">
        <v>0.0</v>
      </c>
      <c r="G17" s="411" t="s">
        <v>19</v>
      </c>
      <c r="H17" s="402"/>
      <c r="I17" s="409" t="s">
        <v>19</v>
      </c>
    </row>
    <row r="18">
      <c r="A18" s="405" t="s">
        <v>34</v>
      </c>
      <c r="B18" s="409">
        <v>30.0</v>
      </c>
      <c r="C18" s="408" t="s">
        <v>435</v>
      </c>
      <c r="D18" s="409" t="s">
        <v>411</v>
      </c>
      <c r="E18" s="408">
        <v>4.0</v>
      </c>
      <c r="F18" s="408">
        <v>3.0</v>
      </c>
      <c r="G18" s="411" t="s">
        <v>19</v>
      </c>
      <c r="H18" s="402"/>
      <c r="I18" s="409" t="s">
        <v>19</v>
      </c>
    </row>
    <row r="19">
      <c r="A19" s="405" t="s">
        <v>61</v>
      </c>
      <c r="B19" s="409">
        <v>1.0</v>
      </c>
      <c r="C19" s="408" t="s">
        <v>300</v>
      </c>
      <c r="D19" s="409" t="s">
        <v>301</v>
      </c>
      <c r="E19" s="408">
        <v>3.0</v>
      </c>
      <c r="F19" s="408">
        <v>7.0</v>
      </c>
      <c r="G19" s="411" t="s">
        <v>26</v>
      </c>
      <c r="H19" s="402"/>
      <c r="I19" s="409" t="s">
        <v>26</v>
      </c>
    </row>
    <row r="20">
      <c r="A20" s="405" t="s">
        <v>61</v>
      </c>
      <c r="B20" s="409">
        <v>7.0</v>
      </c>
      <c r="C20" s="408" t="s">
        <v>352</v>
      </c>
      <c r="D20" s="409" t="s">
        <v>16</v>
      </c>
      <c r="E20" s="408">
        <v>6.0</v>
      </c>
      <c r="F20" s="408">
        <v>9.0</v>
      </c>
      <c r="G20" s="411" t="s">
        <v>26</v>
      </c>
      <c r="H20" s="402"/>
      <c r="I20" s="409" t="s">
        <v>26</v>
      </c>
    </row>
    <row r="21">
      <c r="A21" s="405" t="s">
        <v>68</v>
      </c>
      <c r="B21" s="454">
        <v>19.0</v>
      </c>
      <c r="C21" s="408" t="s">
        <v>437</v>
      </c>
      <c r="D21" s="409" t="s">
        <v>438</v>
      </c>
      <c r="E21" s="408">
        <v>6.0</v>
      </c>
      <c r="F21" s="408">
        <v>4.0</v>
      </c>
      <c r="G21" s="411" t="s">
        <v>19</v>
      </c>
      <c r="H21" s="402"/>
      <c r="I21" s="409" t="s">
        <v>19</v>
      </c>
    </row>
    <row r="22">
      <c r="A22" s="405" t="s">
        <v>68</v>
      </c>
      <c r="B22" s="454">
        <v>25.0</v>
      </c>
      <c r="C22" s="408" t="s">
        <v>381</v>
      </c>
      <c r="D22" s="409" t="s">
        <v>16</v>
      </c>
      <c r="E22" s="408">
        <v>5.0</v>
      </c>
      <c r="F22" s="408">
        <v>0.0</v>
      </c>
      <c r="G22" s="411" t="s">
        <v>19</v>
      </c>
      <c r="H22" s="402"/>
      <c r="I22" s="409" t="s">
        <v>19</v>
      </c>
    </row>
    <row r="23">
      <c r="A23" s="405" t="s">
        <v>68</v>
      </c>
      <c r="B23" s="454">
        <v>27.0</v>
      </c>
      <c r="C23" s="408" t="s">
        <v>166</v>
      </c>
      <c r="D23" s="409" t="s">
        <v>159</v>
      </c>
      <c r="E23" s="408">
        <v>0.0</v>
      </c>
      <c r="F23" s="408">
        <v>7.0</v>
      </c>
      <c r="G23" s="411" t="s">
        <v>26</v>
      </c>
      <c r="H23" s="402"/>
      <c r="I23" s="409" t="s">
        <v>26</v>
      </c>
    </row>
    <row r="24">
      <c r="A24" s="405" t="s">
        <v>74</v>
      </c>
      <c r="B24" s="409">
        <v>1.0</v>
      </c>
      <c r="C24" s="408" t="s">
        <v>424</v>
      </c>
      <c r="D24" s="409" t="s">
        <v>16</v>
      </c>
      <c r="E24" s="408">
        <v>10.0</v>
      </c>
      <c r="F24" s="408">
        <v>1.0</v>
      </c>
      <c r="G24" s="411" t="s">
        <v>19</v>
      </c>
      <c r="H24" s="402"/>
      <c r="I24" s="409" t="s">
        <v>19</v>
      </c>
    </row>
    <row r="25">
      <c r="A25" s="405" t="s">
        <v>74</v>
      </c>
      <c r="B25" s="409">
        <v>2.0</v>
      </c>
      <c r="C25" s="408" t="s">
        <v>186</v>
      </c>
      <c r="D25" s="409" t="s">
        <v>439</v>
      </c>
      <c r="E25" s="408">
        <v>2.0</v>
      </c>
      <c r="F25" s="408">
        <v>6.0</v>
      </c>
      <c r="G25" s="411" t="s">
        <v>26</v>
      </c>
      <c r="H25" s="402"/>
      <c r="I25" s="409" t="s">
        <v>26</v>
      </c>
    </row>
    <row r="26">
      <c r="A26" s="435" t="s">
        <v>74</v>
      </c>
      <c r="B26" s="438">
        <v>15.0</v>
      </c>
      <c r="C26" s="439" t="s">
        <v>341</v>
      </c>
      <c r="D26" s="438" t="s">
        <v>16</v>
      </c>
      <c r="E26" s="439">
        <v>6.0</v>
      </c>
      <c r="F26" s="439">
        <v>4.0</v>
      </c>
      <c r="G26" s="440" t="s">
        <v>19</v>
      </c>
      <c r="H26" s="402"/>
      <c r="I26" s="409" t="s">
        <v>19</v>
      </c>
    </row>
    <row r="27">
      <c r="A27" s="365"/>
      <c r="B27" s="367"/>
      <c r="C27" s="369"/>
      <c r="D27" s="367"/>
      <c r="E27" s="369"/>
      <c r="F27" s="369"/>
      <c r="G27" s="371"/>
      <c r="H27" s="402"/>
      <c r="I27" s="16"/>
    </row>
    <row r="28" ht="27.75" customHeight="1">
      <c r="A28" s="434" t="s">
        <v>444</v>
      </c>
      <c r="B28" s="13"/>
      <c r="C28" s="13"/>
      <c r="D28" s="13"/>
      <c r="E28" s="13"/>
      <c r="F28" s="13"/>
      <c r="G28" s="14"/>
      <c r="H28" s="441"/>
      <c r="I28" s="16"/>
    </row>
    <row r="29">
      <c r="A29" s="442" t="s">
        <v>74</v>
      </c>
      <c r="B29" s="473">
        <v>23.0</v>
      </c>
      <c r="C29" s="314" t="s">
        <v>347</v>
      </c>
      <c r="D29" s="443" t="s">
        <v>348</v>
      </c>
      <c r="E29" s="443">
        <v>4.0</v>
      </c>
      <c r="F29" s="443">
        <v>5.0</v>
      </c>
      <c r="G29" s="444" t="s">
        <v>26</v>
      </c>
      <c r="H29" s="402"/>
      <c r="I29" s="409" t="s">
        <v>26</v>
      </c>
    </row>
    <row r="30" ht="18.0" customHeight="1">
      <c r="A30" s="374" t="s">
        <v>312</v>
      </c>
      <c r="B30" s="132"/>
      <c r="C30" s="132"/>
      <c r="D30" s="375" t="s">
        <v>314</v>
      </c>
      <c r="E30" s="377">
        <f t="shared" ref="E30:F30" si="1">SUM(E8:E29)</f>
        <v>85</v>
      </c>
      <c r="F30" s="377">
        <f t="shared" si="1"/>
        <v>84</v>
      </c>
      <c r="G30" s="378"/>
      <c r="H30" s="383"/>
      <c r="I30" s="389"/>
    </row>
  </sheetData>
  <mergeCells count="3">
    <mergeCell ref="A5:G6"/>
    <mergeCell ref="A28:G28"/>
    <mergeCell ref="A30:C3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5.88"/>
    <col customWidth="1" min="2" max="2" width="3.63"/>
    <col customWidth="1" min="3" max="3" width="27.75"/>
    <col customWidth="1" min="4" max="4" width="38.5"/>
    <col customWidth="1" min="5" max="5" width="5.25"/>
    <col customWidth="1" min="6" max="6" width="4.38"/>
    <col customWidth="1" min="7" max="7" width="7.88"/>
    <col customWidth="1" min="8" max="8" width="7.75"/>
    <col customWidth="1" min="9" max="9" width="6.63"/>
  </cols>
  <sheetData>
    <row r="1">
      <c r="A1" s="264"/>
      <c r="B1" s="265"/>
      <c r="C1" s="266" t="s">
        <v>0</v>
      </c>
      <c r="D1" s="4" t="str">
        <f>COUNTIF(G5:G27,"W")&amp;"-"&amp;COUNTIF(G5:G27,"L")&amp;"-"&amp;COUNTIF(G5:G27,"T")&amp;"-"&amp;COUNTIF(G5:G27,"OTL")</f>
        <v>13-5-1-0</v>
      </c>
      <c r="E1" s="271"/>
      <c r="F1" s="271"/>
      <c r="G1" s="273"/>
      <c r="H1" s="383"/>
      <c r="I1" s="384"/>
    </row>
    <row r="2">
      <c r="A2" s="277"/>
      <c r="B2" s="280"/>
      <c r="C2" s="242" t="s">
        <v>1</v>
      </c>
      <c r="D2" s="10" t="str">
        <f>COUNTIF(I5:I29,"W")&amp;"-"&amp;COUNTIF(I5:I29,"L")&amp;"-"&amp;COUNTIF(I5:I29,"T")&amp;"-"&amp;COUNTIF(I5:I29,"OTL")</f>
        <v>11-3-1-0</v>
      </c>
      <c r="E2" s="286"/>
      <c r="F2" s="286"/>
      <c r="G2" s="287"/>
      <c r="H2" s="383"/>
      <c r="I2" s="389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389"/>
    </row>
    <row r="4">
      <c r="A4" s="299"/>
      <c r="B4" s="300"/>
      <c r="C4" s="301"/>
      <c r="D4" s="303"/>
      <c r="E4" s="304"/>
      <c r="F4" s="304"/>
      <c r="G4" s="305"/>
      <c r="H4" s="383"/>
      <c r="I4" s="395" t="s">
        <v>4</v>
      </c>
    </row>
    <row r="5">
      <c r="A5" s="382" t="s">
        <v>430</v>
      </c>
      <c r="B5" s="3"/>
      <c r="C5" s="3"/>
      <c r="D5" s="3"/>
      <c r="E5" s="3"/>
      <c r="F5" s="3"/>
      <c r="G5" s="5"/>
      <c r="H5" s="397"/>
      <c r="I5" s="389"/>
    </row>
    <row r="6">
      <c r="A6" s="310"/>
      <c r="B6" s="13"/>
      <c r="C6" s="13"/>
      <c r="D6" s="13"/>
      <c r="E6" s="13"/>
      <c r="F6" s="13"/>
      <c r="G6" s="14"/>
      <c r="H6" s="397"/>
      <c r="I6" s="389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389"/>
    </row>
    <row r="8">
      <c r="A8" s="459" t="s">
        <v>245</v>
      </c>
      <c r="B8" s="460">
        <v>29.0</v>
      </c>
      <c r="C8" s="461" t="s">
        <v>394</v>
      </c>
      <c r="D8" s="460" t="s">
        <v>411</v>
      </c>
      <c r="E8" s="461">
        <v>4.0</v>
      </c>
      <c r="F8" s="461">
        <v>3.0</v>
      </c>
      <c r="G8" s="462" t="s">
        <v>19</v>
      </c>
      <c r="H8" s="402"/>
      <c r="I8" s="16"/>
    </row>
    <row r="9">
      <c r="A9" s="463" t="s">
        <v>263</v>
      </c>
      <c r="B9" s="464">
        <v>11.0</v>
      </c>
      <c r="C9" s="465" t="s">
        <v>370</v>
      </c>
      <c r="D9" s="464" t="s">
        <v>16</v>
      </c>
      <c r="E9" s="465">
        <v>5.0</v>
      </c>
      <c r="F9" s="465">
        <v>6.0</v>
      </c>
      <c r="G9" s="466" t="s">
        <v>26</v>
      </c>
      <c r="H9" s="383"/>
      <c r="I9" s="389"/>
    </row>
    <row r="10">
      <c r="A10" s="405" t="s">
        <v>17</v>
      </c>
      <c r="B10" s="409">
        <v>14.0</v>
      </c>
      <c r="C10" s="408" t="s">
        <v>436</v>
      </c>
      <c r="D10" s="409" t="s">
        <v>422</v>
      </c>
      <c r="E10" s="408">
        <v>6.0</v>
      </c>
      <c r="F10" s="408">
        <v>3.0</v>
      </c>
      <c r="G10" s="411" t="s">
        <v>19</v>
      </c>
      <c r="H10" s="402"/>
      <c r="I10" s="409" t="s">
        <v>19</v>
      </c>
    </row>
    <row r="11">
      <c r="A11" s="405" t="s">
        <v>17</v>
      </c>
      <c r="B11" s="409">
        <v>20.0</v>
      </c>
      <c r="C11" s="408" t="s">
        <v>361</v>
      </c>
      <c r="D11" s="409" t="s">
        <v>16</v>
      </c>
      <c r="E11" s="408">
        <v>2.0</v>
      </c>
      <c r="F11" s="408">
        <v>0.0</v>
      </c>
      <c r="G11" s="411" t="s">
        <v>19</v>
      </c>
      <c r="H11" s="402"/>
      <c r="I11" s="409" t="s">
        <v>19</v>
      </c>
    </row>
    <row r="12">
      <c r="A12" s="405" t="s">
        <v>17</v>
      </c>
      <c r="B12" s="409">
        <v>21.0</v>
      </c>
      <c r="C12" s="408" t="s">
        <v>248</v>
      </c>
      <c r="D12" s="409" t="s">
        <v>350</v>
      </c>
      <c r="E12" s="408">
        <v>8.0</v>
      </c>
      <c r="F12" s="408">
        <v>6.0</v>
      </c>
      <c r="G12" s="411" t="s">
        <v>19</v>
      </c>
      <c r="H12" s="402"/>
      <c r="I12" s="409" t="s">
        <v>19</v>
      </c>
    </row>
    <row r="13">
      <c r="A13" s="405" t="s">
        <v>17</v>
      </c>
      <c r="B13" s="409">
        <v>25.0</v>
      </c>
      <c r="C13" s="408" t="s">
        <v>394</v>
      </c>
      <c r="D13" s="409" t="s">
        <v>16</v>
      </c>
      <c r="E13" s="408">
        <v>4.0</v>
      </c>
      <c r="F13" s="408">
        <v>3.0</v>
      </c>
      <c r="G13" s="411" t="s">
        <v>19</v>
      </c>
      <c r="H13" s="402"/>
      <c r="I13" s="409" t="s">
        <v>19</v>
      </c>
    </row>
    <row r="14">
      <c r="A14" s="405" t="s">
        <v>17</v>
      </c>
      <c r="B14" s="409">
        <v>27.0</v>
      </c>
      <c r="C14" s="408" t="s">
        <v>418</v>
      </c>
      <c r="D14" s="409" t="s">
        <v>16</v>
      </c>
      <c r="E14" s="408" t="s">
        <v>221</v>
      </c>
      <c r="F14" s="18"/>
      <c r="G14" s="411" t="s">
        <v>73</v>
      </c>
      <c r="H14" s="402"/>
      <c r="I14" s="409" t="s">
        <v>73</v>
      </c>
    </row>
    <row r="15">
      <c r="A15" s="405" t="s">
        <v>34</v>
      </c>
      <c r="B15" s="409">
        <v>1.0</v>
      </c>
      <c r="C15" s="408" t="s">
        <v>356</v>
      </c>
      <c r="D15" s="409" t="s">
        <v>357</v>
      </c>
      <c r="E15" s="408">
        <v>7.0</v>
      </c>
      <c r="F15" s="408">
        <v>3.0</v>
      </c>
      <c r="G15" s="411" t="s">
        <v>19</v>
      </c>
      <c r="H15" s="402"/>
      <c r="I15" s="409" t="s">
        <v>19</v>
      </c>
    </row>
    <row r="16">
      <c r="A16" s="405" t="s">
        <v>34</v>
      </c>
      <c r="B16" s="409">
        <v>4.0</v>
      </c>
      <c r="C16" s="408" t="s">
        <v>431</v>
      </c>
      <c r="D16" s="409" t="s">
        <v>360</v>
      </c>
      <c r="E16" s="408">
        <v>5.0</v>
      </c>
      <c r="F16" s="408">
        <v>2.0</v>
      </c>
      <c r="G16" s="411" t="s">
        <v>19</v>
      </c>
      <c r="H16" s="402"/>
      <c r="I16" s="409" t="s">
        <v>19</v>
      </c>
    </row>
    <row r="17">
      <c r="A17" s="405" t="s">
        <v>34</v>
      </c>
      <c r="B17" s="409">
        <v>10.0</v>
      </c>
      <c r="C17" s="408" t="s">
        <v>381</v>
      </c>
      <c r="D17" s="409" t="s">
        <v>16</v>
      </c>
      <c r="E17" s="408">
        <v>8.0</v>
      </c>
      <c r="F17" s="408">
        <v>1.0</v>
      </c>
      <c r="G17" s="411" t="s">
        <v>19</v>
      </c>
      <c r="H17" s="402"/>
      <c r="I17" s="409" t="s">
        <v>19</v>
      </c>
    </row>
    <row r="18">
      <c r="A18" s="405" t="s">
        <v>34</v>
      </c>
      <c r="B18" s="409">
        <v>12.0</v>
      </c>
      <c r="C18" s="408" t="s">
        <v>347</v>
      </c>
      <c r="D18" s="409" t="s">
        <v>348</v>
      </c>
      <c r="E18" s="408">
        <v>5.0</v>
      </c>
      <c r="F18" s="408">
        <v>6.0</v>
      </c>
      <c r="G18" s="411" t="s">
        <v>26</v>
      </c>
      <c r="H18" s="402"/>
      <c r="I18" s="409" t="s">
        <v>26</v>
      </c>
    </row>
    <row r="19">
      <c r="A19" s="463" t="s">
        <v>277</v>
      </c>
      <c r="B19" s="464">
        <v>17.0</v>
      </c>
      <c r="C19" s="465" t="s">
        <v>440</v>
      </c>
      <c r="D19" s="464" t="s">
        <v>441</v>
      </c>
      <c r="E19" s="465">
        <v>3.0</v>
      </c>
      <c r="F19" s="465">
        <v>4.0</v>
      </c>
      <c r="G19" s="466" t="s">
        <v>26</v>
      </c>
      <c r="H19" s="402"/>
      <c r="I19" s="16"/>
    </row>
    <row r="20">
      <c r="A20" s="463" t="s">
        <v>277</v>
      </c>
      <c r="B20" s="464">
        <v>18.0</v>
      </c>
      <c r="C20" s="465" t="s">
        <v>442</v>
      </c>
      <c r="D20" s="464" t="s">
        <v>441</v>
      </c>
      <c r="E20" s="465">
        <v>7.0</v>
      </c>
      <c r="F20" s="465">
        <v>2.0</v>
      </c>
      <c r="G20" s="466" t="s">
        <v>19</v>
      </c>
      <c r="H20" s="402"/>
      <c r="I20" s="16"/>
    </row>
    <row r="21">
      <c r="A21" s="405" t="s">
        <v>61</v>
      </c>
      <c r="B21" s="409">
        <v>1.0</v>
      </c>
      <c r="C21" s="408" t="s">
        <v>445</v>
      </c>
      <c r="D21" s="409" t="s">
        <v>16</v>
      </c>
      <c r="E21" s="408">
        <v>6.0</v>
      </c>
      <c r="F21" s="408">
        <v>7.0</v>
      </c>
      <c r="G21" s="411" t="s">
        <v>26</v>
      </c>
      <c r="H21" s="402"/>
      <c r="I21" s="409" t="s">
        <v>26</v>
      </c>
    </row>
    <row r="22">
      <c r="A22" s="405" t="s">
        <v>68</v>
      </c>
      <c r="B22" s="454">
        <v>19.0</v>
      </c>
      <c r="C22" s="408" t="s">
        <v>338</v>
      </c>
      <c r="D22" s="409" t="s">
        <v>16</v>
      </c>
      <c r="E22" s="408">
        <v>8.0</v>
      </c>
      <c r="F22" s="408">
        <v>3.0</v>
      </c>
      <c r="G22" s="411" t="s">
        <v>19</v>
      </c>
      <c r="H22" s="402"/>
      <c r="I22" s="409" t="s">
        <v>19</v>
      </c>
    </row>
    <row r="23">
      <c r="A23" s="405" t="s">
        <v>68</v>
      </c>
      <c r="B23" s="454">
        <v>26.0</v>
      </c>
      <c r="C23" s="408" t="s">
        <v>331</v>
      </c>
      <c r="D23" s="409" t="s">
        <v>16</v>
      </c>
      <c r="E23" s="408">
        <v>4.0</v>
      </c>
      <c r="F23" s="408">
        <v>2.0</v>
      </c>
      <c r="G23" s="411" t="s">
        <v>19</v>
      </c>
      <c r="H23" s="402"/>
      <c r="I23" s="409" t="s">
        <v>19</v>
      </c>
    </row>
    <row r="24">
      <c r="A24" s="405" t="s">
        <v>68</v>
      </c>
      <c r="B24" s="454">
        <v>27.0</v>
      </c>
      <c r="C24" s="408" t="s">
        <v>421</v>
      </c>
      <c r="D24" s="409" t="s">
        <v>422</v>
      </c>
      <c r="E24" s="408">
        <v>3.0</v>
      </c>
      <c r="F24" s="408">
        <v>6.0</v>
      </c>
      <c r="G24" s="411" t="s">
        <v>26</v>
      </c>
      <c r="H24" s="402"/>
      <c r="I24" s="409" t="s">
        <v>26</v>
      </c>
    </row>
    <row r="25">
      <c r="A25" s="405" t="s">
        <v>74</v>
      </c>
      <c r="B25" s="409">
        <v>2.0</v>
      </c>
      <c r="C25" s="408" t="s">
        <v>274</v>
      </c>
      <c r="D25" s="409" t="s">
        <v>411</v>
      </c>
      <c r="E25" s="408">
        <v>4.0</v>
      </c>
      <c r="F25" s="408">
        <v>3.0</v>
      </c>
      <c r="G25" s="411" t="s">
        <v>19</v>
      </c>
      <c r="H25" s="402"/>
      <c r="I25" s="409" t="s">
        <v>19</v>
      </c>
    </row>
    <row r="26">
      <c r="A26" s="405" t="s">
        <v>74</v>
      </c>
      <c r="B26" s="409">
        <v>3.0</v>
      </c>
      <c r="C26" s="408" t="s">
        <v>206</v>
      </c>
      <c r="D26" s="409" t="s">
        <v>159</v>
      </c>
      <c r="E26" s="408">
        <v>4.0</v>
      </c>
      <c r="F26" s="408">
        <v>3.0</v>
      </c>
      <c r="G26" s="411" t="s">
        <v>19</v>
      </c>
      <c r="H26" s="402"/>
      <c r="I26" s="409" t="s">
        <v>19</v>
      </c>
    </row>
    <row r="27">
      <c r="A27" s="435" t="s">
        <v>74</v>
      </c>
      <c r="B27" s="438">
        <v>9.0</v>
      </c>
      <c r="C27" s="439" t="s">
        <v>364</v>
      </c>
      <c r="D27" s="438" t="s">
        <v>16</v>
      </c>
      <c r="E27" s="474"/>
      <c r="F27" s="474"/>
      <c r="G27" s="475"/>
      <c r="H27" s="383"/>
      <c r="I27" s="389"/>
    </row>
    <row r="28">
      <c r="A28" s="299"/>
      <c r="B28" s="300"/>
      <c r="C28" s="300"/>
      <c r="D28" s="304"/>
      <c r="E28" s="304"/>
      <c r="F28" s="304"/>
      <c r="G28" s="305"/>
      <c r="H28" s="383"/>
      <c r="I28" s="389"/>
    </row>
    <row r="29" ht="18.0" customHeight="1">
      <c r="A29" s="374" t="s">
        <v>419</v>
      </c>
      <c r="B29" s="132"/>
      <c r="C29" s="132"/>
      <c r="D29" s="375" t="s">
        <v>314</v>
      </c>
      <c r="E29" s="377">
        <f t="shared" ref="E29:F29" si="1">SUM(E8:E27)</f>
        <v>93</v>
      </c>
      <c r="F29" s="377">
        <f t="shared" si="1"/>
        <v>63</v>
      </c>
      <c r="G29" s="378"/>
      <c r="H29" s="383"/>
      <c r="I29" s="389"/>
    </row>
  </sheetData>
  <mergeCells count="2">
    <mergeCell ref="A5:G6"/>
    <mergeCell ref="A29:C29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6.5"/>
    <col customWidth="1" min="2" max="2" width="3.63"/>
    <col customWidth="1" min="3" max="3" width="29.0"/>
    <col customWidth="1" min="4" max="4" width="37.25"/>
    <col customWidth="1" min="5" max="5" width="5.5"/>
    <col customWidth="1" min="6" max="6" width="5.13"/>
    <col customWidth="1" min="7" max="7" width="6.63"/>
    <col customWidth="1" min="8" max="8" width="7.75"/>
    <col customWidth="1" min="9" max="9" width="6.63"/>
  </cols>
  <sheetData>
    <row r="1">
      <c r="A1" s="264"/>
      <c r="B1" s="265"/>
      <c r="C1" s="266" t="s">
        <v>0</v>
      </c>
      <c r="D1" s="4" t="str">
        <f>COUNTIF(G4:G37,"W")&amp;"-"&amp;COUNTIF(G4:G37,"L")&amp;"-"&amp;COUNTIF(G4:G37,"T")&amp;"-"&amp;COUNTIF(G4:G37,"OTL")</f>
        <v>21-4-0-0</v>
      </c>
      <c r="E1" s="271"/>
      <c r="F1" s="271"/>
      <c r="G1" s="273"/>
      <c r="H1" s="383"/>
      <c r="I1" s="384"/>
    </row>
    <row r="2">
      <c r="A2" s="277"/>
      <c r="B2" s="280"/>
      <c r="C2" s="242" t="s">
        <v>1</v>
      </c>
      <c r="D2" s="10" t="str">
        <f>COUNTIF(I4:I37,"W")&amp;"-"&amp;COUNTIF(I4:I37,"L")&amp;"-"&amp;COUNTIF(I4:I37,"T")&amp;"-"&amp;COUNTIF(I4:I37,"OTL")</f>
        <v>17-2-0-0</v>
      </c>
      <c r="E2" s="286"/>
      <c r="F2" s="286"/>
      <c r="G2" s="287"/>
      <c r="H2" s="383"/>
      <c r="I2" s="389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389"/>
    </row>
    <row r="4">
      <c r="A4" s="471"/>
      <c r="B4" s="300"/>
      <c r="C4" s="301"/>
      <c r="D4" s="303"/>
      <c r="E4" s="304"/>
      <c r="F4" s="304"/>
      <c r="G4" s="305"/>
      <c r="H4" s="383"/>
      <c r="I4" s="389"/>
    </row>
    <row r="5">
      <c r="A5" s="382" t="s">
        <v>443</v>
      </c>
      <c r="B5" s="3"/>
      <c r="C5" s="3"/>
      <c r="D5" s="3"/>
      <c r="E5" s="3"/>
      <c r="F5" s="3"/>
      <c r="G5" s="5"/>
      <c r="H5" s="397"/>
      <c r="I5" s="389"/>
    </row>
    <row r="6">
      <c r="A6" s="310"/>
      <c r="B6" s="13"/>
      <c r="C6" s="13"/>
      <c r="D6" s="13"/>
      <c r="E6" s="13"/>
      <c r="F6" s="13"/>
      <c r="G6" s="14"/>
      <c r="H6" s="397"/>
      <c r="I6" s="389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389"/>
    </row>
    <row r="8">
      <c r="A8" s="459" t="s">
        <v>263</v>
      </c>
      <c r="B8" s="460">
        <v>7.0</v>
      </c>
      <c r="C8" s="461" t="s">
        <v>433</v>
      </c>
      <c r="D8" s="460" t="s">
        <v>16</v>
      </c>
      <c r="E8" s="461">
        <v>11.0</v>
      </c>
      <c r="F8" s="461">
        <v>1.0</v>
      </c>
      <c r="G8" s="462" t="s">
        <v>19</v>
      </c>
      <c r="H8" s="383"/>
      <c r="I8" s="389"/>
    </row>
    <row r="9">
      <c r="A9" s="405" t="s">
        <v>17</v>
      </c>
      <c r="B9" s="409">
        <v>12.0</v>
      </c>
      <c r="C9" s="408" t="s">
        <v>338</v>
      </c>
      <c r="D9" s="409" t="s">
        <v>16</v>
      </c>
      <c r="E9" s="408">
        <v>4.0</v>
      </c>
      <c r="F9" s="408">
        <v>1.0</v>
      </c>
      <c r="G9" s="411" t="s">
        <v>19</v>
      </c>
      <c r="H9" s="477"/>
      <c r="I9" s="447" t="s">
        <v>19</v>
      </c>
    </row>
    <row r="10">
      <c r="A10" s="405" t="s">
        <v>17</v>
      </c>
      <c r="B10" s="409">
        <v>15.0</v>
      </c>
      <c r="C10" s="408" t="s">
        <v>447</v>
      </c>
      <c r="D10" s="409" t="s">
        <v>439</v>
      </c>
      <c r="E10" s="408">
        <v>5.0</v>
      </c>
      <c r="F10" s="408">
        <v>2.0</v>
      </c>
      <c r="G10" s="411" t="s">
        <v>19</v>
      </c>
      <c r="H10" s="477"/>
      <c r="I10" s="447" t="s">
        <v>19</v>
      </c>
    </row>
    <row r="11">
      <c r="A11" s="405" t="s">
        <v>17</v>
      </c>
      <c r="B11" s="409">
        <v>21.0</v>
      </c>
      <c r="C11" s="408" t="s">
        <v>341</v>
      </c>
      <c r="D11" s="409" t="s">
        <v>16</v>
      </c>
      <c r="E11" s="408">
        <v>10.0</v>
      </c>
      <c r="F11" s="408">
        <v>0.0</v>
      </c>
      <c r="G11" s="411" t="s">
        <v>19</v>
      </c>
      <c r="H11" s="402"/>
      <c r="I11" s="409" t="s">
        <v>19</v>
      </c>
    </row>
    <row r="12">
      <c r="A12" s="405" t="s">
        <v>17</v>
      </c>
      <c r="B12" s="409">
        <v>22.0</v>
      </c>
      <c r="C12" s="408" t="s">
        <v>449</v>
      </c>
      <c r="D12" s="409" t="s">
        <v>350</v>
      </c>
      <c r="E12" s="408">
        <v>1.0</v>
      </c>
      <c r="F12" s="408">
        <v>2.0</v>
      </c>
      <c r="G12" s="411" t="s">
        <v>26</v>
      </c>
      <c r="H12" s="402"/>
      <c r="I12" s="409" t="s">
        <v>26</v>
      </c>
    </row>
    <row r="13">
      <c r="A13" s="405" t="s">
        <v>17</v>
      </c>
      <c r="B13" s="409">
        <v>26.0</v>
      </c>
      <c r="C13" s="408" t="s">
        <v>450</v>
      </c>
      <c r="D13" s="409" t="s">
        <v>16</v>
      </c>
      <c r="E13" s="408">
        <v>4.0</v>
      </c>
      <c r="F13" s="408">
        <v>3.0</v>
      </c>
      <c r="G13" s="411" t="s">
        <v>19</v>
      </c>
      <c r="H13" s="402"/>
      <c r="I13" s="409" t="s">
        <v>19</v>
      </c>
    </row>
    <row r="14">
      <c r="A14" s="405" t="s">
        <v>17</v>
      </c>
      <c r="B14" s="409">
        <v>28.0</v>
      </c>
      <c r="C14" s="408" t="s">
        <v>433</v>
      </c>
      <c r="D14" s="409" t="s">
        <v>16</v>
      </c>
      <c r="E14" s="408">
        <v>10.0</v>
      </c>
      <c r="F14" s="408">
        <v>0.0</v>
      </c>
      <c r="G14" s="411" t="s">
        <v>19</v>
      </c>
      <c r="H14" s="402"/>
      <c r="I14" s="409" t="s">
        <v>19</v>
      </c>
    </row>
    <row r="15">
      <c r="A15" s="463" t="s">
        <v>277</v>
      </c>
      <c r="B15" s="464">
        <v>4.0</v>
      </c>
      <c r="C15" s="465" t="s">
        <v>451</v>
      </c>
      <c r="D15" s="464" t="s">
        <v>16</v>
      </c>
      <c r="E15" s="465">
        <v>8.0</v>
      </c>
      <c r="F15" s="465">
        <v>0.0</v>
      </c>
      <c r="G15" s="466" t="s">
        <v>19</v>
      </c>
      <c r="H15" s="383"/>
      <c r="I15" s="389"/>
    </row>
    <row r="16">
      <c r="A16" s="405" t="s">
        <v>34</v>
      </c>
      <c r="B16" s="409">
        <v>5.0</v>
      </c>
      <c r="C16" s="408" t="s">
        <v>452</v>
      </c>
      <c r="D16" s="409" t="s">
        <v>159</v>
      </c>
      <c r="E16" s="408">
        <v>5.0</v>
      </c>
      <c r="F16" s="408">
        <v>4.0</v>
      </c>
      <c r="G16" s="411" t="s">
        <v>19</v>
      </c>
      <c r="H16" s="402"/>
      <c r="I16" s="409" t="s">
        <v>19</v>
      </c>
    </row>
    <row r="17">
      <c r="A17" s="405" t="s">
        <v>34</v>
      </c>
      <c r="B17" s="409">
        <v>11.0</v>
      </c>
      <c r="C17" s="408" t="s">
        <v>453</v>
      </c>
      <c r="D17" s="409" t="s">
        <v>16</v>
      </c>
      <c r="E17" s="408">
        <v>8.0</v>
      </c>
      <c r="F17" s="408">
        <v>0.0</v>
      </c>
      <c r="G17" s="411" t="s">
        <v>19</v>
      </c>
      <c r="H17" s="402"/>
      <c r="I17" s="409" t="s">
        <v>19</v>
      </c>
    </row>
    <row r="18">
      <c r="A18" s="405" t="s">
        <v>34</v>
      </c>
      <c r="B18" s="409">
        <v>13.0</v>
      </c>
      <c r="C18" s="408" t="s">
        <v>347</v>
      </c>
      <c r="D18" s="409" t="s">
        <v>348</v>
      </c>
      <c r="E18" s="408">
        <v>3.0</v>
      </c>
      <c r="F18" s="408">
        <v>2.0</v>
      </c>
      <c r="G18" s="411" t="s">
        <v>19</v>
      </c>
      <c r="H18" s="402"/>
      <c r="I18" s="409" t="s">
        <v>19</v>
      </c>
    </row>
    <row r="19">
      <c r="A19" s="405" t="s">
        <v>34</v>
      </c>
      <c r="B19" s="409">
        <v>18.0</v>
      </c>
      <c r="C19" s="408" t="s">
        <v>455</v>
      </c>
      <c r="D19" s="409" t="s">
        <v>16</v>
      </c>
      <c r="E19" s="408">
        <v>6.0</v>
      </c>
      <c r="F19" s="408">
        <v>4.0</v>
      </c>
      <c r="G19" s="411" t="s">
        <v>19</v>
      </c>
      <c r="H19" s="402"/>
      <c r="I19" s="409" t="s">
        <v>19</v>
      </c>
    </row>
    <row r="20">
      <c r="A20" s="405" t="s">
        <v>34</v>
      </c>
      <c r="B20" s="409">
        <v>30.0</v>
      </c>
      <c r="C20" s="408" t="s">
        <v>356</v>
      </c>
      <c r="D20" s="409" t="s">
        <v>456</v>
      </c>
      <c r="E20" s="408">
        <v>7.0</v>
      </c>
      <c r="F20" s="408">
        <v>1.0</v>
      </c>
      <c r="G20" s="411" t="s">
        <v>19</v>
      </c>
      <c r="H20" s="402"/>
      <c r="I20" s="409" t="s">
        <v>19</v>
      </c>
    </row>
    <row r="21">
      <c r="A21" s="405" t="s">
        <v>61</v>
      </c>
      <c r="B21" s="409">
        <v>2.0</v>
      </c>
      <c r="C21" s="408" t="s">
        <v>274</v>
      </c>
      <c r="D21" s="409" t="s">
        <v>411</v>
      </c>
      <c r="E21" s="408">
        <v>10.0</v>
      </c>
      <c r="F21" s="408">
        <v>1.0</v>
      </c>
      <c r="G21" s="411" t="s">
        <v>19</v>
      </c>
      <c r="H21" s="402"/>
      <c r="I21" s="409" t="s">
        <v>19</v>
      </c>
    </row>
    <row r="22">
      <c r="A22" s="463" t="s">
        <v>349</v>
      </c>
      <c r="B22" s="464">
        <v>10.0</v>
      </c>
      <c r="C22" s="465" t="s">
        <v>457</v>
      </c>
      <c r="D22" s="464" t="s">
        <v>459</v>
      </c>
      <c r="E22" s="465">
        <v>1.0</v>
      </c>
      <c r="F22" s="465">
        <v>2.0</v>
      </c>
      <c r="G22" s="466" t="s">
        <v>26</v>
      </c>
      <c r="H22" s="383"/>
      <c r="I22" s="389"/>
    </row>
    <row r="23">
      <c r="A23" s="405" t="s">
        <v>61</v>
      </c>
      <c r="B23" s="409">
        <v>11.0</v>
      </c>
      <c r="C23" s="408" t="s">
        <v>335</v>
      </c>
      <c r="D23" s="409" t="s">
        <v>460</v>
      </c>
      <c r="E23" s="408">
        <v>5.0</v>
      </c>
      <c r="F23" s="408">
        <v>1.0</v>
      </c>
      <c r="G23" s="411" t="s">
        <v>19</v>
      </c>
      <c r="H23" s="402"/>
      <c r="I23" s="409" t="s">
        <v>19</v>
      </c>
    </row>
    <row r="24">
      <c r="A24" s="405" t="s">
        <v>68</v>
      </c>
      <c r="B24" s="409">
        <v>20.0</v>
      </c>
      <c r="C24" s="408" t="s">
        <v>461</v>
      </c>
      <c r="D24" s="409" t="s">
        <v>16</v>
      </c>
      <c r="E24" s="408">
        <v>7.0</v>
      </c>
      <c r="F24" s="408">
        <v>0.0</v>
      </c>
      <c r="G24" s="411" t="s">
        <v>19</v>
      </c>
      <c r="H24" s="402"/>
      <c r="I24" s="409" t="s">
        <v>19</v>
      </c>
    </row>
    <row r="25">
      <c r="A25" s="463" t="s">
        <v>298</v>
      </c>
      <c r="B25" s="464">
        <v>21.0</v>
      </c>
      <c r="C25" s="465" t="s">
        <v>464</v>
      </c>
      <c r="D25" s="464" t="s">
        <v>465</v>
      </c>
      <c r="E25" s="465">
        <v>4.0</v>
      </c>
      <c r="F25" s="465">
        <v>3.0</v>
      </c>
      <c r="G25" s="466" t="s">
        <v>19</v>
      </c>
      <c r="H25" s="383"/>
      <c r="I25" s="389"/>
    </row>
    <row r="26">
      <c r="A26" s="463" t="s">
        <v>298</v>
      </c>
      <c r="B26" s="464">
        <v>27.0</v>
      </c>
      <c r="C26" s="465" t="s">
        <v>466</v>
      </c>
      <c r="D26" s="464" t="s">
        <v>16</v>
      </c>
      <c r="E26" s="465">
        <v>9.0</v>
      </c>
      <c r="F26" s="465">
        <v>3.0</v>
      </c>
      <c r="G26" s="466" t="s">
        <v>19</v>
      </c>
      <c r="H26" s="383"/>
      <c r="I26" s="389"/>
    </row>
    <row r="27">
      <c r="A27" s="405" t="s">
        <v>74</v>
      </c>
      <c r="B27" s="409">
        <v>3.0</v>
      </c>
      <c r="C27" s="408" t="s">
        <v>364</v>
      </c>
      <c r="D27" s="409" t="s">
        <v>16</v>
      </c>
      <c r="E27" s="408">
        <v>5.0</v>
      </c>
      <c r="F27" s="408">
        <v>4.0</v>
      </c>
      <c r="G27" s="411" t="s">
        <v>19</v>
      </c>
      <c r="H27" s="402"/>
      <c r="I27" s="409" t="s">
        <v>19</v>
      </c>
    </row>
    <row r="28">
      <c r="A28" s="405" t="s">
        <v>74</v>
      </c>
      <c r="B28" s="409">
        <v>4.0</v>
      </c>
      <c r="C28" s="408" t="s">
        <v>421</v>
      </c>
      <c r="D28" s="409" t="s">
        <v>422</v>
      </c>
      <c r="E28" s="408">
        <v>1.0</v>
      </c>
      <c r="F28" s="408">
        <v>5.0</v>
      </c>
      <c r="G28" s="411" t="s">
        <v>26</v>
      </c>
      <c r="H28" s="402"/>
      <c r="I28" s="409" t="s">
        <v>26</v>
      </c>
    </row>
    <row r="29">
      <c r="A29" s="463" t="s">
        <v>382</v>
      </c>
      <c r="B29" s="464">
        <v>10.0</v>
      </c>
      <c r="C29" s="465" t="s">
        <v>467</v>
      </c>
      <c r="D29" s="464" t="s">
        <v>468</v>
      </c>
      <c r="E29" s="465">
        <v>1.0</v>
      </c>
      <c r="F29" s="465">
        <v>3.0</v>
      </c>
      <c r="G29" s="466" t="s">
        <v>26</v>
      </c>
      <c r="H29" s="383"/>
      <c r="I29" s="389"/>
    </row>
    <row r="30">
      <c r="A30" s="482" t="s">
        <v>382</v>
      </c>
      <c r="B30" s="483">
        <v>11.0</v>
      </c>
      <c r="C30" s="484" t="s">
        <v>470</v>
      </c>
      <c r="D30" s="483" t="s">
        <v>468</v>
      </c>
      <c r="E30" s="484" t="s">
        <v>141</v>
      </c>
      <c r="F30" s="13"/>
      <c r="G30" s="14"/>
      <c r="H30" s="383"/>
      <c r="I30" s="389"/>
    </row>
    <row r="31">
      <c r="A31" s="299"/>
      <c r="B31" s="300"/>
      <c r="C31" s="300"/>
      <c r="D31" s="304"/>
      <c r="E31" s="304"/>
      <c r="F31" s="304"/>
      <c r="G31" s="305"/>
      <c r="H31" s="383"/>
      <c r="I31" s="389"/>
    </row>
    <row r="32">
      <c r="A32" s="382" t="s">
        <v>473</v>
      </c>
      <c r="B32" s="3"/>
      <c r="C32" s="3"/>
      <c r="D32" s="3"/>
      <c r="E32" s="3"/>
      <c r="F32" s="3"/>
      <c r="G32" s="3"/>
      <c r="H32" s="397"/>
      <c r="I32" s="389"/>
    </row>
    <row r="33">
      <c r="A33" s="310"/>
      <c r="B33" s="13"/>
      <c r="C33" s="13"/>
      <c r="D33" s="13"/>
      <c r="E33" s="13"/>
      <c r="F33" s="13"/>
      <c r="G33" s="13"/>
      <c r="H33" s="397"/>
      <c r="I33" s="389"/>
    </row>
    <row r="34">
      <c r="A34" s="311" t="s">
        <v>239</v>
      </c>
      <c r="B34" s="300"/>
      <c r="C34" s="314" t="s">
        <v>240</v>
      </c>
      <c r="D34" s="314" t="s">
        <v>241</v>
      </c>
      <c r="E34" s="314" t="s">
        <v>8</v>
      </c>
      <c r="F34" s="314" t="s">
        <v>9</v>
      </c>
      <c r="G34" s="316" t="s">
        <v>202</v>
      </c>
      <c r="H34" s="383"/>
      <c r="I34" s="395" t="s">
        <v>4</v>
      </c>
    </row>
    <row r="35">
      <c r="A35" s="424" t="s">
        <v>74</v>
      </c>
      <c r="B35" s="467">
        <v>18.0</v>
      </c>
      <c r="C35" s="252" t="s">
        <v>345</v>
      </c>
      <c r="D35" s="426" t="s">
        <v>476</v>
      </c>
      <c r="E35" s="426">
        <v>4.0</v>
      </c>
      <c r="F35" s="426">
        <v>1.0</v>
      </c>
      <c r="G35" s="427" t="s">
        <v>19</v>
      </c>
      <c r="H35" s="402"/>
      <c r="I35" s="409" t="s">
        <v>19</v>
      </c>
    </row>
    <row r="36">
      <c r="A36" s="405" t="s">
        <v>74</v>
      </c>
      <c r="B36" s="454">
        <v>25.0</v>
      </c>
      <c r="C36" s="408" t="s">
        <v>352</v>
      </c>
      <c r="D36" s="409" t="s">
        <v>477</v>
      </c>
      <c r="E36" s="409">
        <v>8.0</v>
      </c>
      <c r="F36" s="409">
        <v>5.0</v>
      </c>
      <c r="G36" s="411" t="s">
        <v>19</v>
      </c>
      <c r="H36" s="402"/>
      <c r="I36" s="409" t="s">
        <v>19</v>
      </c>
    </row>
    <row r="37">
      <c r="A37" s="435" t="s">
        <v>74</v>
      </c>
      <c r="B37" s="468">
        <v>26.0</v>
      </c>
      <c r="C37" s="439" t="s">
        <v>421</v>
      </c>
      <c r="D37" s="438" t="s">
        <v>477</v>
      </c>
      <c r="E37" s="438">
        <v>3.0</v>
      </c>
      <c r="F37" s="438">
        <v>2.0</v>
      </c>
      <c r="G37" s="440" t="s">
        <v>19</v>
      </c>
      <c r="H37" s="402"/>
      <c r="I37" s="409" t="s">
        <v>19</v>
      </c>
    </row>
    <row r="38" ht="18.0" customHeight="1">
      <c r="A38" s="374" t="s">
        <v>419</v>
      </c>
      <c r="B38" s="132"/>
      <c r="C38" s="132"/>
      <c r="D38" s="375" t="s">
        <v>479</v>
      </c>
      <c r="E38" s="377">
        <f t="shared" ref="E38:F38" si="1">sum(E8:E37)</f>
        <v>140</v>
      </c>
      <c r="F38" s="377">
        <f t="shared" si="1"/>
        <v>50</v>
      </c>
      <c r="G38" s="498"/>
      <c r="H38" s="383"/>
      <c r="I38" s="389"/>
    </row>
  </sheetData>
  <mergeCells count="4">
    <mergeCell ref="A5:G6"/>
    <mergeCell ref="E30:G30"/>
    <mergeCell ref="A32:G33"/>
    <mergeCell ref="A38:C38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8.75"/>
    <col customWidth="1" min="5" max="5" width="4.63"/>
    <col customWidth="1" min="6" max="6" width="5.13"/>
    <col customWidth="1" min="7" max="7" width="6.63"/>
    <col customWidth="1" min="8" max="8" width="13.25"/>
    <col customWidth="1" min="9" max="9" width="6.63"/>
  </cols>
  <sheetData>
    <row r="1">
      <c r="A1" s="264"/>
      <c r="B1" s="265"/>
      <c r="C1" s="266" t="s">
        <v>0</v>
      </c>
      <c r="D1" s="4" t="str">
        <f>COUNTIF(G5:G34,"W")&amp;"-"&amp;COUNTIF(G5:G34,"L")&amp;"-"&amp;COUNTIF(G5:G34,"T")&amp;"-"&amp;COUNTIF(G5:G34,"OTL")</f>
        <v>16-7-0-2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COUNTIF(I5:I35,"W")&amp;"-"&amp;COUNTIF(I5:I35,"L")&amp;"-"&amp;COUNTIF(I5:I35,"T")&amp;"-"&amp;COUNTIF(I5:I35,"OTL")</f>
        <v>10-6-0-2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446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459" t="s">
        <v>263</v>
      </c>
      <c r="B8" s="460">
        <v>6.0</v>
      </c>
      <c r="C8" s="461" t="s">
        <v>356</v>
      </c>
      <c r="D8" s="460" t="s">
        <v>448</v>
      </c>
      <c r="E8" s="461">
        <v>4.0</v>
      </c>
      <c r="F8" s="461">
        <v>3.0</v>
      </c>
      <c r="G8" s="462" t="s">
        <v>19</v>
      </c>
      <c r="H8" s="402"/>
      <c r="I8" s="16"/>
    </row>
    <row r="9">
      <c r="A9" s="463" t="s">
        <v>263</v>
      </c>
      <c r="B9" s="464">
        <v>8.0</v>
      </c>
      <c r="C9" s="465" t="s">
        <v>433</v>
      </c>
      <c r="D9" s="464" t="s">
        <v>16</v>
      </c>
      <c r="E9" s="465">
        <v>5.0</v>
      </c>
      <c r="F9" s="465">
        <v>3.0</v>
      </c>
      <c r="G9" s="466" t="s">
        <v>19</v>
      </c>
      <c r="H9" s="383"/>
      <c r="I9" s="476"/>
    </row>
    <row r="10">
      <c r="A10" s="478" t="s">
        <v>17</v>
      </c>
      <c r="B10" s="50">
        <v>13.0</v>
      </c>
      <c r="C10" s="479" t="s">
        <v>394</v>
      </c>
      <c r="D10" s="50" t="s">
        <v>16</v>
      </c>
      <c r="E10" s="479">
        <v>10.0</v>
      </c>
      <c r="F10" s="479">
        <v>6.0</v>
      </c>
      <c r="G10" s="480" t="s">
        <v>19</v>
      </c>
      <c r="H10" s="402"/>
      <c r="I10" s="409" t="s">
        <v>19</v>
      </c>
    </row>
    <row r="11">
      <c r="A11" s="405" t="s">
        <v>17</v>
      </c>
      <c r="B11" s="409">
        <v>16.0</v>
      </c>
      <c r="C11" s="408" t="s">
        <v>421</v>
      </c>
      <c r="D11" s="409" t="s">
        <v>448</v>
      </c>
      <c r="E11" s="408">
        <v>2.0</v>
      </c>
      <c r="F11" s="408">
        <v>3.0</v>
      </c>
      <c r="G11" s="411" t="s">
        <v>26</v>
      </c>
      <c r="H11" s="402"/>
      <c r="I11" s="409" t="s">
        <v>26</v>
      </c>
    </row>
    <row r="12">
      <c r="A12" s="405" t="s">
        <v>17</v>
      </c>
      <c r="B12" s="409">
        <v>22.0</v>
      </c>
      <c r="C12" s="255" t="s">
        <v>345</v>
      </c>
      <c r="D12" s="409" t="s">
        <v>16</v>
      </c>
      <c r="E12" s="408">
        <v>3.0</v>
      </c>
      <c r="F12" s="408">
        <v>2.0</v>
      </c>
      <c r="G12" s="411" t="s">
        <v>19</v>
      </c>
      <c r="H12" s="402"/>
      <c r="I12" s="409" t="s">
        <v>19</v>
      </c>
    </row>
    <row r="13">
      <c r="A13" s="405" t="s">
        <v>17</v>
      </c>
      <c r="B13" s="409">
        <v>27.0</v>
      </c>
      <c r="C13" s="408" t="s">
        <v>361</v>
      </c>
      <c r="D13" s="409" t="s">
        <v>16</v>
      </c>
      <c r="E13" s="408">
        <v>9.0</v>
      </c>
      <c r="F13" s="408">
        <v>2.0</v>
      </c>
      <c r="G13" s="411" t="s">
        <v>19</v>
      </c>
      <c r="H13" s="402"/>
      <c r="I13" s="409" t="s">
        <v>19</v>
      </c>
    </row>
    <row r="14">
      <c r="A14" s="414" t="s">
        <v>263</v>
      </c>
      <c r="B14" s="419">
        <v>29.0</v>
      </c>
      <c r="C14" s="418" t="s">
        <v>454</v>
      </c>
      <c r="D14" s="419" t="s">
        <v>16</v>
      </c>
      <c r="E14" s="418">
        <v>3.0</v>
      </c>
      <c r="F14" s="418">
        <v>7.0</v>
      </c>
      <c r="G14" s="420" t="s">
        <v>26</v>
      </c>
      <c r="H14" s="402"/>
      <c r="I14" s="16"/>
    </row>
    <row r="15">
      <c r="A15" s="405" t="s">
        <v>17</v>
      </c>
      <c r="B15" s="409">
        <v>30.0</v>
      </c>
      <c r="C15" s="255" t="s">
        <v>452</v>
      </c>
      <c r="D15" s="409" t="s">
        <v>448</v>
      </c>
      <c r="E15" s="408">
        <v>4.0</v>
      </c>
      <c r="F15" s="408">
        <v>2.0</v>
      </c>
      <c r="G15" s="411" t="s">
        <v>19</v>
      </c>
      <c r="H15" s="402"/>
      <c r="I15" s="409" t="s">
        <v>19</v>
      </c>
    </row>
    <row r="16">
      <c r="A16" s="405" t="s">
        <v>34</v>
      </c>
      <c r="B16" s="409">
        <v>6.0</v>
      </c>
      <c r="C16" s="408" t="s">
        <v>206</v>
      </c>
      <c r="D16" s="409" t="s">
        <v>448</v>
      </c>
      <c r="E16" s="408">
        <v>2.0</v>
      </c>
      <c r="F16" s="408">
        <v>10.0</v>
      </c>
      <c r="G16" s="411" t="s">
        <v>26</v>
      </c>
      <c r="H16" s="402"/>
      <c r="I16" s="409" t="s">
        <v>26</v>
      </c>
    </row>
    <row r="17">
      <c r="A17" s="405" t="s">
        <v>34</v>
      </c>
      <c r="B17" s="409">
        <v>7.0</v>
      </c>
      <c r="C17" s="408" t="s">
        <v>186</v>
      </c>
      <c r="D17" s="409" t="s">
        <v>448</v>
      </c>
      <c r="E17" s="408">
        <v>1.0</v>
      </c>
      <c r="F17" s="408">
        <v>11.0</v>
      </c>
      <c r="G17" s="411" t="s">
        <v>26</v>
      </c>
      <c r="H17" s="402"/>
      <c r="I17" s="409" t="s">
        <v>26</v>
      </c>
    </row>
    <row r="18">
      <c r="A18" s="414" t="s">
        <v>277</v>
      </c>
      <c r="B18" s="419">
        <v>12.0</v>
      </c>
      <c r="C18" s="418" t="s">
        <v>338</v>
      </c>
      <c r="D18" s="419" t="s">
        <v>16</v>
      </c>
      <c r="E18" s="418">
        <v>7.0</v>
      </c>
      <c r="F18" s="418">
        <v>5.0</v>
      </c>
      <c r="G18" s="420" t="s">
        <v>19</v>
      </c>
      <c r="H18" s="402"/>
      <c r="I18" s="16"/>
    </row>
    <row r="19">
      <c r="A19" s="414" t="s">
        <v>277</v>
      </c>
      <c r="B19" s="419">
        <v>13.0</v>
      </c>
      <c r="C19" s="418" t="s">
        <v>458</v>
      </c>
      <c r="D19" s="419" t="s">
        <v>448</v>
      </c>
      <c r="E19" s="418">
        <v>6.0</v>
      </c>
      <c r="F19" s="418">
        <v>3.0</v>
      </c>
      <c r="G19" s="420" t="s">
        <v>19</v>
      </c>
      <c r="H19" s="402"/>
      <c r="I19" s="16"/>
    </row>
    <row r="20">
      <c r="A20" s="405" t="s">
        <v>34</v>
      </c>
      <c r="B20" s="409">
        <v>19.0</v>
      </c>
      <c r="C20" s="408" t="s">
        <v>364</v>
      </c>
      <c r="D20" s="409" t="s">
        <v>16</v>
      </c>
      <c r="E20" s="408">
        <v>5.0</v>
      </c>
      <c r="F20" s="408">
        <v>5.0</v>
      </c>
      <c r="G20" s="411" t="s">
        <v>48</v>
      </c>
      <c r="H20" s="402"/>
      <c r="I20" s="409" t="s">
        <v>48</v>
      </c>
    </row>
    <row r="21">
      <c r="A21" s="405" t="s">
        <v>61</v>
      </c>
      <c r="B21" s="454">
        <v>3.0</v>
      </c>
      <c r="C21" s="408" t="s">
        <v>418</v>
      </c>
      <c r="D21" s="409" t="s">
        <v>16</v>
      </c>
      <c r="E21" s="408">
        <v>1.0</v>
      </c>
      <c r="F21" s="408">
        <v>5.0</v>
      </c>
      <c r="G21" s="411" t="s">
        <v>26</v>
      </c>
      <c r="H21" s="402"/>
      <c r="I21" s="409" t="s">
        <v>26</v>
      </c>
    </row>
    <row r="22">
      <c r="A22" s="405" t="s">
        <v>61</v>
      </c>
      <c r="B22" s="454">
        <v>4.0</v>
      </c>
      <c r="C22" s="408" t="s">
        <v>436</v>
      </c>
      <c r="D22" s="409" t="s">
        <v>448</v>
      </c>
      <c r="E22" s="408">
        <v>18.0</v>
      </c>
      <c r="F22" s="408">
        <v>4.0</v>
      </c>
      <c r="G22" s="411" t="s">
        <v>19</v>
      </c>
      <c r="H22" s="402"/>
      <c r="I22" s="409" t="s">
        <v>19</v>
      </c>
    </row>
    <row r="23">
      <c r="A23" s="405" t="s">
        <v>61</v>
      </c>
      <c r="B23" s="454">
        <v>10.0</v>
      </c>
      <c r="C23" s="408" t="s">
        <v>433</v>
      </c>
      <c r="D23" s="409" t="s">
        <v>16</v>
      </c>
      <c r="E23" s="408">
        <v>5.0</v>
      </c>
      <c r="F23" s="408">
        <v>2.0</v>
      </c>
      <c r="G23" s="411" t="s">
        <v>19</v>
      </c>
      <c r="H23" s="402"/>
      <c r="I23" s="409" t="s">
        <v>19</v>
      </c>
    </row>
    <row r="24">
      <c r="A24" s="414" t="s">
        <v>298</v>
      </c>
      <c r="B24" s="481">
        <v>21.0</v>
      </c>
      <c r="C24" s="418" t="s">
        <v>331</v>
      </c>
      <c r="D24" s="419" t="s">
        <v>16</v>
      </c>
      <c r="E24" s="418">
        <v>11.0</v>
      </c>
      <c r="F24" s="418">
        <v>3.0</v>
      </c>
      <c r="G24" s="420" t="s">
        <v>19</v>
      </c>
      <c r="H24" s="402"/>
      <c r="I24" s="16"/>
    </row>
    <row r="25">
      <c r="A25" s="405" t="s">
        <v>68</v>
      </c>
      <c r="B25" s="454">
        <v>28.0</v>
      </c>
      <c r="C25" s="408" t="s">
        <v>166</v>
      </c>
      <c r="D25" s="409" t="s">
        <v>448</v>
      </c>
      <c r="E25" s="408">
        <v>5.0</v>
      </c>
      <c r="F25" s="408">
        <v>3.0</v>
      </c>
      <c r="G25" s="411" t="s">
        <v>19</v>
      </c>
      <c r="H25" s="402"/>
      <c r="I25" s="409" t="s">
        <v>19</v>
      </c>
    </row>
    <row r="26">
      <c r="A26" s="414" t="s">
        <v>382</v>
      </c>
      <c r="B26" s="481">
        <v>1.0</v>
      </c>
      <c r="C26" s="418" t="s">
        <v>248</v>
      </c>
      <c r="D26" s="419" t="s">
        <v>448</v>
      </c>
      <c r="E26" s="418">
        <v>11.0</v>
      </c>
      <c r="F26" s="418">
        <v>8.0</v>
      </c>
      <c r="G26" s="420" t="s">
        <v>19</v>
      </c>
      <c r="H26" s="402"/>
      <c r="I26" s="16"/>
    </row>
    <row r="27">
      <c r="A27" s="405" t="s">
        <v>74</v>
      </c>
      <c r="B27" s="454">
        <v>4.0</v>
      </c>
      <c r="C27" s="408" t="s">
        <v>352</v>
      </c>
      <c r="D27" s="409" t="s">
        <v>16</v>
      </c>
      <c r="E27" s="408">
        <v>2.0</v>
      </c>
      <c r="F27" s="408">
        <v>4.0</v>
      </c>
      <c r="G27" s="411" t="s">
        <v>26</v>
      </c>
      <c r="H27" s="402"/>
      <c r="I27" s="409" t="s">
        <v>26</v>
      </c>
    </row>
    <row r="28">
      <c r="A28" s="405" t="s">
        <v>74</v>
      </c>
      <c r="B28" s="454">
        <v>9.0</v>
      </c>
      <c r="C28" s="255" t="s">
        <v>258</v>
      </c>
      <c r="D28" s="409" t="s">
        <v>448</v>
      </c>
      <c r="E28" s="408">
        <v>2.0</v>
      </c>
      <c r="F28" s="408">
        <v>2.0</v>
      </c>
      <c r="G28" s="411" t="s">
        <v>48</v>
      </c>
      <c r="H28" s="402"/>
      <c r="I28" s="409" t="s">
        <v>48</v>
      </c>
    </row>
    <row r="29">
      <c r="A29" s="405" t="s">
        <v>74</v>
      </c>
      <c r="B29" s="454">
        <v>11.0</v>
      </c>
      <c r="C29" s="255" t="s">
        <v>469</v>
      </c>
      <c r="D29" s="409" t="s">
        <v>16</v>
      </c>
      <c r="E29" s="408">
        <v>7.0</v>
      </c>
      <c r="F29" s="408">
        <v>3.0</v>
      </c>
      <c r="G29" s="411" t="s">
        <v>19</v>
      </c>
      <c r="H29" s="402"/>
      <c r="I29" s="409" t="s">
        <v>19</v>
      </c>
    </row>
    <row r="30">
      <c r="A30" s="435" t="s">
        <v>74</v>
      </c>
      <c r="B30" s="438">
        <v>14.0</v>
      </c>
      <c r="C30" s="439" t="s">
        <v>431</v>
      </c>
      <c r="D30" s="438" t="s">
        <v>448</v>
      </c>
      <c r="E30" s="439">
        <v>4.0</v>
      </c>
      <c r="F30" s="439">
        <v>2.0</v>
      </c>
      <c r="G30" s="440" t="s">
        <v>19</v>
      </c>
      <c r="H30" s="402"/>
      <c r="I30" s="409" t="s">
        <v>19</v>
      </c>
    </row>
    <row r="31">
      <c r="A31" s="365"/>
      <c r="B31" s="367"/>
      <c r="C31" s="369"/>
      <c r="D31" s="367"/>
      <c r="E31" s="369"/>
      <c r="F31" s="369"/>
      <c r="G31" s="371"/>
      <c r="H31" s="402"/>
      <c r="I31" s="16"/>
    </row>
    <row r="32">
      <c r="A32" s="434" t="s">
        <v>471</v>
      </c>
      <c r="B32" s="13"/>
      <c r="C32" s="13"/>
      <c r="D32" s="13"/>
      <c r="E32" s="13"/>
      <c r="F32" s="13"/>
      <c r="G32" s="14"/>
      <c r="H32" s="441"/>
      <c r="I32" s="16"/>
    </row>
    <row r="33">
      <c r="A33" s="485" t="s">
        <v>74</v>
      </c>
      <c r="B33" s="486">
        <v>19.0</v>
      </c>
      <c r="C33" s="487" t="s">
        <v>472</v>
      </c>
      <c r="D33" s="488" t="s">
        <v>16</v>
      </c>
      <c r="E33" s="487">
        <v>7.0</v>
      </c>
      <c r="F33" s="487">
        <v>3.0</v>
      </c>
      <c r="G33" s="489" t="s">
        <v>19</v>
      </c>
      <c r="H33" s="490"/>
      <c r="I33" s="409" t="s">
        <v>19</v>
      </c>
    </row>
    <row r="34">
      <c r="A34" s="435" t="s">
        <v>74</v>
      </c>
      <c r="B34" s="468">
        <v>25.0</v>
      </c>
      <c r="C34" s="439" t="s">
        <v>421</v>
      </c>
      <c r="D34" s="438" t="s">
        <v>448</v>
      </c>
      <c r="E34" s="439">
        <v>3.0</v>
      </c>
      <c r="F34" s="439">
        <v>6.0</v>
      </c>
      <c r="G34" s="440" t="s">
        <v>26</v>
      </c>
      <c r="H34" s="402"/>
      <c r="I34" s="409" t="s">
        <v>26</v>
      </c>
    </row>
    <row r="35">
      <c r="A35" s="374" t="s">
        <v>419</v>
      </c>
      <c r="B35" s="132"/>
      <c r="C35" s="132"/>
      <c r="D35" s="375" t="s">
        <v>314</v>
      </c>
      <c r="E35" s="377">
        <f t="shared" ref="E35:F35" si="1">SUM(E8:E34)</f>
        <v>137</v>
      </c>
      <c r="F35" s="377">
        <f t="shared" si="1"/>
        <v>107</v>
      </c>
      <c r="G35" s="378"/>
      <c r="H35" s="383"/>
      <c r="I35" s="476"/>
    </row>
  </sheetData>
  <mergeCells count="3">
    <mergeCell ref="A5:G6"/>
    <mergeCell ref="A32:G32"/>
    <mergeCell ref="A35:C3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40.13"/>
    <col customWidth="1" min="5" max="5" width="4.75"/>
    <col customWidth="1" min="6" max="6" width="3.5"/>
    <col customWidth="1" min="7" max="7" width="6.75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COUNTIF(G5:G33,"W")&amp;"-"&amp;COUNTIF(G5:G33,"L")&amp;"-"&amp;COUNTIF(G5:G33,"T")&amp;"-"&amp;COUNTIF(G5:G33,"OTL")</f>
        <v>13-9-2-0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COUNTIF(I5:I34,"W")&amp;"-"&amp;COUNTIF(I5:I34,"L")&amp;"-"&amp;COUNTIF(I5:I34,"T")&amp;"-"&amp;COUNTIF(I5:I34,"OTL")</f>
        <v>10-6-2-0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462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459" t="s">
        <v>263</v>
      </c>
      <c r="B8" s="460">
        <v>8.0</v>
      </c>
      <c r="C8" s="461" t="s">
        <v>356</v>
      </c>
      <c r="D8" s="460" t="s">
        <v>448</v>
      </c>
      <c r="E8" s="461">
        <v>3.0</v>
      </c>
      <c r="F8" s="461">
        <v>4.0</v>
      </c>
      <c r="G8" s="462" t="s">
        <v>26</v>
      </c>
      <c r="H8" s="402"/>
      <c r="I8" s="16"/>
    </row>
    <row r="9">
      <c r="A9" s="463" t="s">
        <v>263</v>
      </c>
      <c r="B9" s="464">
        <v>10.0</v>
      </c>
      <c r="C9" s="465" t="s">
        <v>338</v>
      </c>
      <c r="D9" s="464" t="s">
        <v>16</v>
      </c>
      <c r="E9" s="465">
        <v>10.0</v>
      </c>
      <c r="F9" s="465">
        <v>5.0</v>
      </c>
      <c r="G9" s="466" t="s">
        <v>19</v>
      </c>
      <c r="H9" s="383"/>
      <c r="I9" s="476"/>
    </row>
    <row r="10">
      <c r="A10" s="478" t="s">
        <v>17</v>
      </c>
      <c r="B10" s="50">
        <v>15.0</v>
      </c>
      <c r="C10" s="479" t="s">
        <v>370</v>
      </c>
      <c r="D10" s="50" t="s">
        <v>16</v>
      </c>
      <c r="E10" s="479">
        <v>9.0</v>
      </c>
      <c r="F10" s="479">
        <v>0.0</v>
      </c>
      <c r="G10" s="480" t="s">
        <v>19</v>
      </c>
      <c r="H10" s="402"/>
      <c r="I10" s="409" t="s">
        <v>19</v>
      </c>
    </row>
    <row r="11">
      <c r="A11" s="405" t="s">
        <v>17</v>
      </c>
      <c r="B11" s="409">
        <v>17.0</v>
      </c>
      <c r="C11" s="408" t="s">
        <v>381</v>
      </c>
      <c r="D11" s="409" t="s">
        <v>16</v>
      </c>
      <c r="E11" s="408">
        <v>6.0</v>
      </c>
      <c r="F11" s="408">
        <v>3.0</v>
      </c>
      <c r="G11" s="411" t="s">
        <v>19</v>
      </c>
      <c r="H11" s="402"/>
      <c r="I11" s="409" t="s">
        <v>19</v>
      </c>
    </row>
    <row r="12">
      <c r="A12" s="405" t="s">
        <v>17</v>
      </c>
      <c r="B12" s="409">
        <v>24.0</v>
      </c>
      <c r="C12" s="255" t="s">
        <v>452</v>
      </c>
      <c r="D12" s="409" t="s">
        <v>448</v>
      </c>
      <c r="E12" s="408">
        <v>8.0</v>
      </c>
      <c r="F12" s="408">
        <v>3.0</v>
      </c>
      <c r="G12" s="411" t="s">
        <v>19</v>
      </c>
      <c r="H12" s="402"/>
      <c r="I12" s="409" t="s">
        <v>19</v>
      </c>
    </row>
    <row r="13">
      <c r="A13" s="405" t="s">
        <v>17</v>
      </c>
      <c r="B13" s="409">
        <v>29.0</v>
      </c>
      <c r="C13" s="408" t="s">
        <v>358</v>
      </c>
      <c r="D13" s="409" t="s">
        <v>16</v>
      </c>
      <c r="E13" s="408">
        <v>1.0</v>
      </c>
      <c r="F13" s="408">
        <v>8.0</v>
      </c>
      <c r="G13" s="411" t="s">
        <v>26</v>
      </c>
      <c r="H13" s="402"/>
      <c r="I13" s="409" t="s">
        <v>26</v>
      </c>
    </row>
    <row r="14">
      <c r="A14" s="478" t="s">
        <v>34</v>
      </c>
      <c r="B14" s="50">
        <v>1.0</v>
      </c>
      <c r="C14" s="479" t="s">
        <v>186</v>
      </c>
      <c r="D14" s="50" t="s">
        <v>448</v>
      </c>
      <c r="E14" s="479">
        <v>3.0</v>
      </c>
      <c r="F14" s="479">
        <v>4.0</v>
      </c>
      <c r="G14" s="480" t="s">
        <v>26</v>
      </c>
      <c r="H14" s="402"/>
      <c r="I14" s="409" t="s">
        <v>26</v>
      </c>
    </row>
    <row r="15">
      <c r="A15" s="405" t="s">
        <v>34</v>
      </c>
      <c r="B15" s="409">
        <v>7.0</v>
      </c>
      <c r="C15" s="255" t="s">
        <v>345</v>
      </c>
      <c r="D15" s="409" t="s">
        <v>16</v>
      </c>
      <c r="E15" s="408">
        <v>3.0</v>
      </c>
      <c r="F15" s="408">
        <v>1.0</v>
      </c>
      <c r="G15" s="411" t="s">
        <v>19</v>
      </c>
      <c r="H15" s="402"/>
      <c r="I15" s="409" t="s">
        <v>19</v>
      </c>
    </row>
    <row r="16">
      <c r="A16" s="414" t="s">
        <v>277</v>
      </c>
      <c r="B16" s="419">
        <v>12.0</v>
      </c>
      <c r="C16" s="418" t="s">
        <v>474</v>
      </c>
      <c r="D16" s="419" t="s">
        <v>16</v>
      </c>
      <c r="E16" s="418">
        <v>6.0</v>
      </c>
      <c r="F16" s="418">
        <v>3.0</v>
      </c>
      <c r="G16" s="420" t="s">
        <v>19</v>
      </c>
      <c r="H16" s="402"/>
      <c r="I16" s="16"/>
    </row>
    <row r="17">
      <c r="A17" s="405" t="s">
        <v>34</v>
      </c>
      <c r="B17" s="409">
        <v>14.0</v>
      </c>
      <c r="C17" s="408" t="s">
        <v>418</v>
      </c>
      <c r="D17" s="409" t="s">
        <v>16</v>
      </c>
      <c r="E17" s="408">
        <v>3.0</v>
      </c>
      <c r="F17" s="408">
        <v>3.0</v>
      </c>
      <c r="G17" s="411" t="s">
        <v>73</v>
      </c>
      <c r="H17" s="402"/>
      <c r="I17" s="409" t="s">
        <v>73</v>
      </c>
    </row>
    <row r="18">
      <c r="A18" s="478" t="s">
        <v>34</v>
      </c>
      <c r="B18" s="50">
        <v>21.0</v>
      </c>
      <c r="C18" s="479" t="s">
        <v>364</v>
      </c>
      <c r="D18" s="50" t="s">
        <v>16</v>
      </c>
      <c r="E18" s="479">
        <v>2.0</v>
      </c>
      <c r="F18" s="479">
        <v>2.0</v>
      </c>
      <c r="G18" s="480" t="s">
        <v>73</v>
      </c>
      <c r="H18" s="402"/>
      <c r="I18" s="409" t="s">
        <v>73</v>
      </c>
    </row>
    <row r="19">
      <c r="A19" s="478" t="s">
        <v>34</v>
      </c>
      <c r="B19" s="50">
        <v>23.0</v>
      </c>
      <c r="C19" s="479" t="s">
        <v>347</v>
      </c>
      <c r="D19" s="50" t="s">
        <v>448</v>
      </c>
      <c r="E19" s="479">
        <v>4.0</v>
      </c>
      <c r="F19" s="479">
        <v>3.0</v>
      </c>
      <c r="G19" s="480" t="s">
        <v>19</v>
      </c>
      <c r="H19" s="402"/>
      <c r="I19" s="409" t="s">
        <v>19</v>
      </c>
    </row>
    <row r="20">
      <c r="A20" s="405" t="s">
        <v>61</v>
      </c>
      <c r="B20" s="409">
        <v>7.0</v>
      </c>
      <c r="C20" s="255" t="s">
        <v>258</v>
      </c>
      <c r="D20" s="409" t="s">
        <v>448</v>
      </c>
      <c r="E20" s="408">
        <v>3.0</v>
      </c>
      <c r="F20" s="408">
        <v>3.0</v>
      </c>
      <c r="G20" s="411" t="s">
        <v>19</v>
      </c>
      <c r="H20" s="402"/>
      <c r="I20" s="409" t="s">
        <v>19</v>
      </c>
    </row>
    <row r="21">
      <c r="A21" s="414" t="s">
        <v>349</v>
      </c>
      <c r="B21" s="481">
        <v>12.0</v>
      </c>
      <c r="C21" s="418" t="s">
        <v>274</v>
      </c>
      <c r="D21" s="419" t="s">
        <v>448</v>
      </c>
      <c r="E21" s="418">
        <v>3.0</v>
      </c>
      <c r="F21" s="418">
        <v>11.0</v>
      </c>
      <c r="G21" s="420" t="s">
        <v>26</v>
      </c>
      <c r="H21" s="402"/>
      <c r="I21" s="16"/>
    </row>
    <row r="22">
      <c r="A22" s="405" t="s">
        <v>68</v>
      </c>
      <c r="B22" s="454">
        <v>24.0</v>
      </c>
      <c r="C22" s="408" t="s">
        <v>206</v>
      </c>
      <c r="D22" s="409" t="s">
        <v>448</v>
      </c>
      <c r="E22" s="408">
        <v>3.0</v>
      </c>
      <c r="F22" s="408">
        <v>1.0</v>
      </c>
      <c r="G22" s="411" t="s">
        <v>19</v>
      </c>
      <c r="H22" s="402"/>
      <c r="I22" s="409" t="s">
        <v>19</v>
      </c>
    </row>
    <row r="23">
      <c r="A23" s="405" t="s">
        <v>68</v>
      </c>
      <c r="B23" s="454">
        <v>28.0</v>
      </c>
      <c r="C23" s="408" t="s">
        <v>356</v>
      </c>
      <c r="D23" s="409" t="s">
        <v>448</v>
      </c>
      <c r="E23" s="408">
        <v>3.0</v>
      </c>
      <c r="F23" s="408">
        <v>2.0</v>
      </c>
      <c r="G23" s="411" t="s">
        <v>19</v>
      </c>
      <c r="H23" s="402"/>
      <c r="I23" s="409" t="s">
        <v>19</v>
      </c>
    </row>
    <row r="24">
      <c r="A24" s="414" t="s">
        <v>298</v>
      </c>
      <c r="B24" s="481">
        <v>30.0</v>
      </c>
      <c r="C24" s="418" t="s">
        <v>394</v>
      </c>
      <c r="D24" s="419" t="s">
        <v>16</v>
      </c>
      <c r="E24" s="418">
        <v>1.0</v>
      </c>
      <c r="F24" s="418">
        <v>3.0</v>
      </c>
      <c r="G24" s="420" t="s">
        <v>26</v>
      </c>
      <c r="H24" s="402"/>
      <c r="I24" s="16"/>
    </row>
    <row r="25">
      <c r="A25" s="405" t="s">
        <v>74</v>
      </c>
      <c r="B25" s="454">
        <v>6.0</v>
      </c>
      <c r="C25" s="255" t="s">
        <v>469</v>
      </c>
      <c r="D25" s="409" t="s">
        <v>16</v>
      </c>
      <c r="E25" s="408">
        <v>6.0</v>
      </c>
      <c r="F25" s="408">
        <v>7.0</v>
      </c>
      <c r="G25" s="411" t="s">
        <v>26</v>
      </c>
      <c r="H25" s="402"/>
      <c r="I25" s="409" t="s">
        <v>26</v>
      </c>
    </row>
    <row r="26">
      <c r="A26" s="414" t="s">
        <v>382</v>
      </c>
      <c r="B26" s="481">
        <v>9.0</v>
      </c>
      <c r="C26" s="418" t="s">
        <v>248</v>
      </c>
      <c r="D26" s="419" t="s">
        <v>448</v>
      </c>
      <c r="E26" s="418">
        <v>3.0</v>
      </c>
      <c r="F26" s="418">
        <v>0.0</v>
      </c>
      <c r="G26" s="420" t="s">
        <v>19</v>
      </c>
      <c r="H26" s="402"/>
      <c r="I26" s="16"/>
    </row>
    <row r="27">
      <c r="A27" s="405" t="s">
        <v>74</v>
      </c>
      <c r="B27" s="454">
        <v>12.0</v>
      </c>
      <c r="C27" s="408" t="s">
        <v>421</v>
      </c>
      <c r="D27" s="409" t="s">
        <v>448</v>
      </c>
      <c r="E27" s="408">
        <v>0.0</v>
      </c>
      <c r="F27" s="408">
        <v>10.0</v>
      </c>
      <c r="G27" s="411" t="s">
        <v>26</v>
      </c>
      <c r="H27" s="402"/>
      <c r="I27" s="409" t="s">
        <v>26</v>
      </c>
    </row>
    <row r="28">
      <c r="A28" s="405" t="s">
        <v>74</v>
      </c>
      <c r="B28" s="454">
        <v>13.0</v>
      </c>
      <c r="C28" s="408" t="s">
        <v>352</v>
      </c>
      <c r="D28" s="409" t="s">
        <v>16</v>
      </c>
      <c r="E28" s="408">
        <v>4.0</v>
      </c>
      <c r="F28" s="408">
        <v>5.0</v>
      </c>
      <c r="G28" s="411" t="s">
        <v>26</v>
      </c>
      <c r="H28" s="402"/>
      <c r="I28" s="409" t="s">
        <v>26</v>
      </c>
    </row>
    <row r="29">
      <c r="A29" s="435" t="s">
        <v>74</v>
      </c>
      <c r="B29" s="468">
        <v>14.0</v>
      </c>
      <c r="C29" s="439" t="s">
        <v>319</v>
      </c>
      <c r="D29" s="438" t="s">
        <v>448</v>
      </c>
      <c r="E29" s="439">
        <v>17.0</v>
      </c>
      <c r="F29" s="439">
        <v>1.0</v>
      </c>
      <c r="G29" s="440" t="s">
        <v>19</v>
      </c>
      <c r="H29" s="402"/>
      <c r="I29" s="409" t="s">
        <v>19</v>
      </c>
    </row>
    <row r="30">
      <c r="A30" s="365"/>
      <c r="B30" s="367"/>
      <c r="C30" s="369"/>
      <c r="D30" s="367"/>
      <c r="E30" s="369"/>
      <c r="F30" s="369"/>
      <c r="G30" s="371"/>
      <c r="H30" s="402"/>
      <c r="I30" s="16"/>
    </row>
    <row r="31">
      <c r="A31" s="434" t="s">
        <v>480</v>
      </c>
      <c r="B31" s="13"/>
      <c r="C31" s="13"/>
      <c r="D31" s="13"/>
      <c r="E31" s="13"/>
      <c r="F31" s="13"/>
      <c r="G31" s="14"/>
      <c r="H31" s="441"/>
      <c r="I31" s="16"/>
    </row>
    <row r="32">
      <c r="A32" s="485" t="s">
        <v>74</v>
      </c>
      <c r="B32" s="486">
        <v>18.0</v>
      </c>
      <c r="C32" s="487" t="s">
        <v>352</v>
      </c>
      <c r="D32" s="488" t="s">
        <v>16</v>
      </c>
      <c r="E32" s="487">
        <v>11.0</v>
      </c>
      <c r="F32" s="487">
        <v>1.0</v>
      </c>
      <c r="G32" s="489" t="s">
        <v>19</v>
      </c>
      <c r="H32" s="490"/>
      <c r="I32" s="409" t="s">
        <v>19</v>
      </c>
    </row>
    <row r="33">
      <c r="A33" s="435" t="s">
        <v>74</v>
      </c>
      <c r="B33" s="468">
        <v>19.0</v>
      </c>
      <c r="C33" s="439" t="s">
        <v>475</v>
      </c>
      <c r="D33" s="438" t="s">
        <v>448</v>
      </c>
      <c r="E33" s="439">
        <v>3.0</v>
      </c>
      <c r="F33" s="439">
        <v>4.0</v>
      </c>
      <c r="G33" s="440" t="s">
        <v>26</v>
      </c>
      <c r="H33" s="402"/>
      <c r="I33" s="409" t="s">
        <v>26</v>
      </c>
    </row>
    <row r="34">
      <c r="A34" s="374" t="s">
        <v>419</v>
      </c>
      <c r="B34" s="132"/>
      <c r="C34" s="132"/>
      <c r="D34" s="375" t="s">
        <v>314</v>
      </c>
      <c r="E34" s="377">
        <f t="shared" ref="E34:F34" si="1">SUM(E8:E33)</f>
        <v>115</v>
      </c>
      <c r="F34" s="377">
        <f t="shared" si="1"/>
        <v>87</v>
      </c>
      <c r="G34" s="378"/>
      <c r="H34" s="383"/>
      <c r="I34" s="476"/>
    </row>
  </sheetData>
  <mergeCells count="3">
    <mergeCell ref="A5:G6"/>
    <mergeCell ref="A31:G31"/>
    <mergeCell ref="A34:C34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9.63"/>
    <col customWidth="1" min="5" max="5" width="4.38"/>
    <col customWidth="1" min="6" max="6" width="4.63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COUNTIF(G5:G28,"W")&amp;"-"&amp;COUNTIF(G5:G28,"L")&amp;"-"&amp;COUNTIF(G5:G28,"T")&amp;"-"&amp;COUNTIF(G5:G28,"OTL")</f>
        <v>4-14-1-0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COUNTIF(I5:I29,"W")&amp;"-"&amp;COUNTIF(I5:I29,"L")&amp;"-"&amp;COUNTIF(I5:I29,"T")&amp;"-"&amp;COUNTIF(I5:I29,"OTL")</f>
        <v>3-14-1-0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463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459" t="s">
        <v>263</v>
      </c>
      <c r="B8" s="460">
        <v>11.0</v>
      </c>
      <c r="C8" s="461" t="s">
        <v>370</v>
      </c>
      <c r="D8" s="460" t="s">
        <v>16</v>
      </c>
      <c r="E8" s="461">
        <v>9.0</v>
      </c>
      <c r="F8" s="461">
        <v>4.0</v>
      </c>
      <c r="G8" s="462" t="s">
        <v>19</v>
      </c>
      <c r="H8" s="402"/>
      <c r="I8" s="16"/>
    </row>
    <row r="9">
      <c r="A9" s="478" t="s">
        <v>17</v>
      </c>
      <c r="B9" s="50">
        <v>16.0</v>
      </c>
      <c r="C9" s="479" t="s">
        <v>356</v>
      </c>
      <c r="D9" s="50" t="s">
        <v>448</v>
      </c>
      <c r="E9" s="479">
        <v>1.0</v>
      </c>
      <c r="F9" s="479">
        <v>4.0</v>
      </c>
      <c r="G9" s="480" t="s">
        <v>26</v>
      </c>
      <c r="H9" s="383"/>
      <c r="I9" s="447" t="s">
        <v>26</v>
      </c>
    </row>
    <row r="10">
      <c r="A10" s="478" t="s">
        <v>17</v>
      </c>
      <c r="B10" s="50">
        <v>23.0</v>
      </c>
      <c r="C10" s="479" t="s">
        <v>338</v>
      </c>
      <c r="D10" s="50" t="s">
        <v>16</v>
      </c>
      <c r="E10" s="479">
        <v>9.0</v>
      </c>
      <c r="F10" s="479">
        <v>5.0</v>
      </c>
      <c r="G10" s="480" t="s">
        <v>19</v>
      </c>
      <c r="H10" s="402"/>
      <c r="I10" s="409" t="s">
        <v>19</v>
      </c>
    </row>
    <row r="11">
      <c r="A11" s="405" t="s">
        <v>17</v>
      </c>
      <c r="B11" s="409">
        <v>26.0</v>
      </c>
      <c r="C11" s="408" t="s">
        <v>206</v>
      </c>
      <c r="D11" s="409" t="s">
        <v>448</v>
      </c>
      <c r="E11" s="408">
        <v>5.0</v>
      </c>
      <c r="F11" s="408">
        <v>7.0</v>
      </c>
      <c r="G11" s="411" t="s">
        <v>26</v>
      </c>
      <c r="H11" s="402"/>
      <c r="I11" s="409" t="s">
        <v>26</v>
      </c>
    </row>
    <row r="12">
      <c r="A12" s="405" t="s">
        <v>17</v>
      </c>
      <c r="B12" s="409">
        <v>28.0</v>
      </c>
      <c r="C12" s="408" t="s">
        <v>421</v>
      </c>
      <c r="D12" s="409" t="s">
        <v>448</v>
      </c>
      <c r="E12" s="408">
        <v>0.0</v>
      </c>
      <c r="F12" s="408">
        <v>10.0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8.0</v>
      </c>
      <c r="C13" s="408" t="s">
        <v>361</v>
      </c>
      <c r="D13" s="409" t="s">
        <v>16</v>
      </c>
      <c r="E13" s="408">
        <v>2.0</v>
      </c>
      <c r="F13" s="408">
        <v>12.0</v>
      </c>
      <c r="G13" s="411" t="s">
        <v>26</v>
      </c>
      <c r="H13" s="402"/>
      <c r="I13" s="409" t="s">
        <v>26</v>
      </c>
    </row>
    <row r="14">
      <c r="A14" s="478" t="s">
        <v>34</v>
      </c>
      <c r="B14" s="50">
        <v>10.0</v>
      </c>
      <c r="C14" s="479" t="s">
        <v>347</v>
      </c>
      <c r="D14" s="50" t="s">
        <v>448</v>
      </c>
      <c r="E14" s="479">
        <v>0.0</v>
      </c>
      <c r="F14" s="479">
        <v>6.0</v>
      </c>
      <c r="G14" s="480" t="s">
        <v>26</v>
      </c>
      <c r="H14" s="402"/>
      <c r="I14" s="409" t="s">
        <v>26</v>
      </c>
    </row>
    <row r="15">
      <c r="A15" s="405" t="s">
        <v>34</v>
      </c>
      <c r="B15" s="409">
        <v>22.0</v>
      </c>
      <c r="C15" s="408" t="s">
        <v>352</v>
      </c>
      <c r="D15" s="409" t="s">
        <v>16</v>
      </c>
      <c r="E15" s="408">
        <v>2.0</v>
      </c>
      <c r="F15" s="408">
        <v>5.0</v>
      </c>
      <c r="G15" s="411" t="s">
        <v>26</v>
      </c>
      <c r="H15" s="402"/>
      <c r="I15" s="409" t="s">
        <v>26</v>
      </c>
    </row>
    <row r="16">
      <c r="A16" s="478" t="s">
        <v>61</v>
      </c>
      <c r="B16" s="50">
        <v>6.0</v>
      </c>
      <c r="C16" s="479" t="s">
        <v>418</v>
      </c>
      <c r="D16" s="50" t="s">
        <v>16</v>
      </c>
      <c r="E16" s="479">
        <v>1.0</v>
      </c>
      <c r="F16" s="479">
        <v>9.0</v>
      </c>
      <c r="G16" s="480" t="s">
        <v>26</v>
      </c>
      <c r="H16" s="402"/>
      <c r="I16" s="409" t="s">
        <v>26</v>
      </c>
    </row>
    <row r="17">
      <c r="A17" s="478" t="s">
        <v>68</v>
      </c>
      <c r="B17" s="50">
        <v>17.0</v>
      </c>
      <c r="C17" s="381" t="s">
        <v>469</v>
      </c>
      <c r="D17" s="50" t="s">
        <v>16</v>
      </c>
      <c r="E17" s="479">
        <v>5.0</v>
      </c>
      <c r="F17" s="479">
        <v>13.0</v>
      </c>
      <c r="G17" s="480" t="s">
        <v>26</v>
      </c>
      <c r="H17" s="402"/>
      <c r="I17" s="409" t="s">
        <v>26</v>
      </c>
    </row>
    <row r="18">
      <c r="A18" s="478" t="s">
        <v>68</v>
      </c>
      <c r="B18" s="50">
        <v>19.0</v>
      </c>
      <c r="C18" s="381" t="s">
        <v>258</v>
      </c>
      <c r="D18" s="50" t="s">
        <v>448</v>
      </c>
      <c r="E18" s="479">
        <v>4.0</v>
      </c>
      <c r="F18" s="479">
        <v>8.0</v>
      </c>
      <c r="G18" s="480" t="s">
        <v>26</v>
      </c>
      <c r="H18" s="402"/>
      <c r="I18" s="409" t="s">
        <v>26</v>
      </c>
    </row>
    <row r="19">
      <c r="A19" s="478" t="s">
        <v>68</v>
      </c>
      <c r="B19" s="50">
        <v>25.0</v>
      </c>
      <c r="C19" s="381" t="s">
        <v>452</v>
      </c>
      <c r="D19" s="50" t="s">
        <v>448</v>
      </c>
      <c r="E19" s="479">
        <v>3.0</v>
      </c>
      <c r="F19" s="479">
        <v>8.0</v>
      </c>
      <c r="G19" s="480" t="s">
        <v>26</v>
      </c>
      <c r="H19" s="402"/>
      <c r="I19" s="409" t="s">
        <v>26</v>
      </c>
    </row>
    <row r="20">
      <c r="A20" s="478" t="s">
        <v>74</v>
      </c>
      <c r="B20" s="50">
        <v>5.0</v>
      </c>
      <c r="C20" s="479" t="s">
        <v>358</v>
      </c>
      <c r="D20" s="50" t="s">
        <v>16</v>
      </c>
      <c r="E20" s="479">
        <v>2.0</v>
      </c>
      <c r="F20" s="479">
        <v>12.0</v>
      </c>
      <c r="G20" s="480" t="s">
        <v>26</v>
      </c>
      <c r="H20" s="402"/>
      <c r="I20" s="409" t="s">
        <v>26</v>
      </c>
    </row>
    <row r="21">
      <c r="A21" s="478" t="s">
        <v>74</v>
      </c>
      <c r="B21" s="491">
        <v>7.0</v>
      </c>
      <c r="C21" s="381" t="s">
        <v>345</v>
      </c>
      <c r="D21" s="50" t="s">
        <v>16</v>
      </c>
      <c r="E21" s="479">
        <v>8.0</v>
      </c>
      <c r="F21" s="479">
        <v>8.0</v>
      </c>
      <c r="G21" s="480" t="s">
        <v>73</v>
      </c>
      <c r="H21" s="402"/>
      <c r="I21" s="409" t="s">
        <v>73</v>
      </c>
    </row>
    <row r="22">
      <c r="A22" s="478" t="s">
        <v>74</v>
      </c>
      <c r="B22" s="491">
        <v>13.0</v>
      </c>
      <c r="C22" s="479" t="s">
        <v>475</v>
      </c>
      <c r="D22" s="50" t="s">
        <v>448</v>
      </c>
      <c r="E22" s="479">
        <v>1.0</v>
      </c>
      <c r="F22" s="479">
        <v>11.0</v>
      </c>
      <c r="G22" s="480" t="s">
        <v>26</v>
      </c>
      <c r="H22" s="402"/>
      <c r="I22" s="409" t="s">
        <v>26</v>
      </c>
    </row>
    <row r="23">
      <c r="A23" s="478" t="s">
        <v>74</v>
      </c>
      <c r="B23" s="491">
        <v>15.0</v>
      </c>
      <c r="C23" s="479" t="s">
        <v>319</v>
      </c>
      <c r="D23" s="50" t="s">
        <v>448</v>
      </c>
      <c r="E23" s="479">
        <v>9.0</v>
      </c>
      <c r="F23" s="479">
        <v>5.0</v>
      </c>
      <c r="G23" s="480" t="s">
        <v>19</v>
      </c>
      <c r="H23" s="402"/>
      <c r="I23" s="409" t="s">
        <v>19</v>
      </c>
    </row>
    <row r="24">
      <c r="A24" s="492" t="s">
        <v>74</v>
      </c>
      <c r="B24" s="493">
        <v>19.0</v>
      </c>
      <c r="C24" s="494" t="s">
        <v>356</v>
      </c>
      <c r="D24" s="495" t="s">
        <v>448</v>
      </c>
      <c r="E24" s="494">
        <v>3.0</v>
      </c>
      <c r="F24" s="494">
        <v>7.0</v>
      </c>
      <c r="G24" s="496" t="s">
        <v>26</v>
      </c>
      <c r="H24" s="402"/>
      <c r="I24" s="409" t="s">
        <v>26</v>
      </c>
    </row>
    <row r="25">
      <c r="A25" s="365"/>
      <c r="B25" s="367"/>
      <c r="C25" s="369"/>
      <c r="D25" s="367"/>
      <c r="E25" s="369"/>
      <c r="F25" s="369"/>
      <c r="G25" s="371"/>
      <c r="H25" s="402"/>
      <c r="I25" s="16"/>
    </row>
    <row r="26">
      <c r="A26" s="434" t="s">
        <v>478</v>
      </c>
      <c r="B26" s="13"/>
      <c r="C26" s="13"/>
      <c r="D26" s="13"/>
      <c r="E26" s="13"/>
      <c r="F26" s="13"/>
      <c r="G26" s="14"/>
      <c r="H26" s="441"/>
      <c r="I26" s="16"/>
    </row>
    <row r="27">
      <c r="A27" s="485" t="s">
        <v>74</v>
      </c>
      <c r="B27" s="486">
        <v>23.0</v>
      </c>
      <c r="C27" s="497" t="s">
        <v>452</v>
      </c>
      <c r="D27" s="488" t="s">
        <v>448</v>
      </c>
      <c r="E27" s="487">
        <v>5.0</v>
      </c>
      <c r="F27" s="487">
        <v>4.0</v>
      </c>
      <c r="G27" s="489" t="s">
        <v>19</v>
      </c>
      <c r="H27" s="490"/>
      <c r="I27" s="409" t="s">
        <v>19</v>
      </c>
    </row>
    <row r="28">
      <c r="A28" s="435" t="s">
        <v>106</v>
      </c>
      <c r="B28" s="468">
        <v>5.0</v>
      </c>
      <c r="C28" s="439" t="s">
        <v>356</v>
      </c>
      <c r="D28" s="438" t="s">
        <v>448</v>
      </c>
      <c r="E28" s="439">
        <v>1.0</v>
      </c>
      <c r="F28" s="439">
        <v>3.0</v>
      </c>
      <c r="G28" s="440" t="s">
        <v>26</v>
      </c>
      <c r="H28" s="402"/>
      <c r="I28" s="409" t="s">
        <v>26</v>
      </c>
    </row>
    <row r="29">
      <c r="A29" s="374" t="s">
        <v>419</v>
      </c>
      <c r="B29" s="132"/>
      <c r="C29" s="132"/>
      <c r="D29" s="375" t="s">
        <v>314</v>
      </c>
      <c r="E29" s="377">
        <f t="shared" ref="E29:F29" si="1">SUM(E8:E28)</f>
        <v>70</v>
      </c>
      <c r="F29" s="377">
        <f t="shared" si="1"/>
        <v>141</v>
      </c>
      <c r="G29" s="378"/>
      <c r="H29" s="383"/>
      <c r="I29" s="476"/>
    </row>
  </sheetData>
  <mergeCells count="3">
    <mergeCell ref="A5:G6"/>
    <mergeCell ref="A26:G26"/>
    <mergeCell ref="A29:C29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9.75"/>
    <col customWidth="1" min="5" max="5" width="4.38"/>
    <col customWidth="1" min="6" max="6" width="4.63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COUNTIF(G5:G27,"W")&amp;"-"&amp;COUNTIF(G5:G27,"L")&amp;"-"&amp;COUNTIF(G5:G27,"T")&amp;"-"&amp;COUNTIF(G5:G27,"OTL")</f>
        <v>4-14-0-0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COUNTIF(I5:I28,"W")&amp;"-"&amp;COUNTIF(I5:I28,"L")&amp;"-"&amp;COUNTIF(I5:I28,"T")&amp;"-"&amp;COUNTIF(I5:I28,"OTL")</f>
        <v>4-13-0-0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481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459" t="s">
        <v>263</v>
      </c>
      <c r="B8" s="460">
        <v>17.0</v>
      </c>
      <c r="C8" s="461" t="s">
        <v>394</v>
      </c>
      <c r="D8" s="460" t="s">
        <v>16</v>
      </c>
      <c r="E8" s="461">
        <v>2.0</v>
      </c>
      <c r="F8" s="461">
        <v>10.0</v>
      </c>
      <c r="G8" s="462" t="s">
        <v>26</v>
      </c>
      <c r="H8" s="402"/>
      <c r="I8" s="16"/>
    </row>
    <row r="9">
      <c r="A9" s="478" t="s">
        <v>17</v>
      </c>
      <c r="B9" s="50">
        <v>19.0</v>
      </c>
      <c r="C9" s="479" t="s">
        <v>319</v>
      </c>
      <c r="D9" s="50" t="s">
        <v>448</v>
      </c>
      <c r="E9" s="479">
        <v>7.0</v>
      </c>
      <c r="F9" s="479">
        <v>3.0</v>
      </c>
      <c r="G9" s="480" t="s">
        <v>19</v>
      </c>
      <c r="H9" s="383"/>
      <c r="I9" s="447" t="s">
        <v>19</v>
      </c>
    </row>
    <row r="10">
      <c r="A10" s="478" t="s">
        <v>17</v>
      </c>
      <c r="B10" s="50">
        <v>24.0</v>
      </c>
      <c r="C10" s="479" t="s">
        <v>338</v>
      </c>
      <c r="D10" s="50" t="s">
        <v>16</v>
      </c>
      <c r="E10" s="479">
        <v>4.0</v>
      </c>
      <c r="F10" s="479">
        <v>5.0</v>
      </c>
      <c r="G10" s="480" t="s">
        <v>26</v>
      </c>
      <c r="H10" s="402"/>
      <c r="I10" s="409" t="s">
        <v>26</v>
      </c>
    </row>
    <row r="11">
      <c r="A11" s="405" t="s">
        <v>17</v>
      </c>
      <c r="B11" s="409">
        <v>25.0</v>
      </c>
      <c r="C11" s="408" t="s">
        <v>475</v>
      </c>
      <c r="D11" s="409" t="s">
        <v>448</v>
      </c>
      <c r="E11" s="408">
        <v>0.0</v>
      </c>
      <c r="F11" s="408">
        <v>10.0</v>
      </c>
      <c r="G11" s="411" t="s">
        <v>26</v>
      </c>
      <c r="H11" s="402"/>
      <c r="I11" s="409" t="s">
        <v>26</v>
      </c>
    </row>
    <row r="12">
      <c r="A12" s="405" t="s">
        <v>34</v>
      </c>
      <c r="B12" s="409">
        <v>2.0</v>
      </c>
      <c r="C12" s="408" t="s">
        <v>352</v>
      </c>
      <c r="D12" s="409" t="s">
        <v>16</v>
      </c>
      <c r="E12" s="408">
        <v>6.0</v>
      </c>
      <c r="F12" s="408">
        <v>7.0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9.0</v>
      </c>
      <c r="C13" s="408" t="s">
        <v>358</v>
      </c>
      <c r="D13" s="409" t="s">
        <v>16</v>
      </c>
      <c r="E13" s="408">
        <v>5.0</v>
      </c>
      <c r="F13" s="408">
        <v>6.0</v>
      </c>
      <c r="G13" s="411" t="s">
        <v>26</v>
      </c>
      <c r="H13" s="402"/>
      <c r="I13" s="409" t="s">
        <v>26</v>
      </c>
    </row>
    <row r="14">
      <c r="A14" s="478" t="s">
        <v>34</v>
      </c>
      <c r="B14" s="50">
        <v>11.0</v>
      </c>
      <c r="C14" s="381" t="s">
        <v>258</v>
      </c>
      <c r="D14" s="50" t="s">
        <v>448</v>
      </c>
      <c r="E14" s="479">
        <v>1.0</v>
      </c>
      <c r="F14" s="479">
        <v>11.0</v>
      </c>
      <c r="G14" s="480" t="s">
        <v>26</v>
      </c>
      <c r="H14" s="402"/>
      <c r="I14" s="409" t="s">
        <v>26</v>
      </c>
    </row>
    <row r="15">
      <c r="A15" s="405" t="s">
        <v>34</v>
      </c>
      <c r="B15" s="409">
        <v>18.0</v>
      </c>
      <c r="C15" s="408" t="s">
        <v>206</v>
      </c>
      <c r="D15" s="409" t="s">
        <v>448</v>
      </c>
      <c r="E15" s="408">
        <v>4.0</v>
      </c>
      <c r="F15" s="408">
        <v>8.0</v>
      </c>
      <c r="G15" s="411" t="s">
        <v>26</v>
      </c>
      <c r="H15" s="402"/>
      <c r="I15" s="409" t="s">
        <v>26</v>
      </c>
    </row>
    <row r="16">
      <c r="A16" s="478" t="s">
        <v>34</v>
      </c>
      <c r="B16" s="50">
        <v>28.0</v>
      </c>
      <c r="C16" s="479" t="s">
        <v>356</v>
      </c>
      <c r="D16" s="50" t="s">
        <v>448</v>
      </c>
      <c r="E16" s="479">
        <v>1.0</v>
      </c>
      <c r="F16" s="479">
        <v>11.0</v>
      </c>
      <c r="G16" s="480" t="s">
        <v>26</v>
      </c>
      <c r="H16" s="402"/>
      <c r="I16" s="409" t="s">
        <v>26</v>
      </c>
    </row>
    <row r="17">
      <c r="A17" s="478" t="s">
        <v>34</v>
      </c>
      <c r="B17" s="50">
        <v>30.0</v>
      </c>
      <c r="C17" s="381" t="s">
        <v>345</v>
      </c>
      <c r="D17" s="50" t="s">
        <v>16</v>
      </c>
      <c r="E17" s="479">
        <v>7.0</v>
      </c>
      <c r="F17" s="479">
        <v>6.0</v>
      </c>
      <c r="G17" s="480" t="s">
        <v>19</v>
      </c>
      <c r="H17" s="402"/>
      <c r="I17" s="409" t="s">
        <v>19</v>
      </c>
    </row>
    <row r="18">
      <c r="A18" s="478" t="s">
        <v>68</v>
      </c>
      <c r="B18" s="50">
        <v>20.0</v>
      </c>
      <c r="C18" s="479" t="s">
        <v>347</v>
      </c>
      <c r="D18" s="50" t="s">
        <v>448</v>
      </c>
      <c r="E18" s="479">
        <v>2.0</v>
      </c>
      <c r="F18" s="479">
        <v>11.0</v>
      </c>
      <c r="G18" s="480" t="s">
        <v>26</v>
      </c>
      <c r="H18" s="402"/>
      <c r="I18" s="409" t="s">
        <v>26</v>
      </c>
    </row>
    <row r="19">
      <c r="A19" s="478" t="s">
        <v>68</v>
      </c>
      <c r="B19" s="50">
        <v>23.0</v>
      </c>
      <c r="C19" s="479" t="s">
        <v>418</v>
      </c>
      <c r="D19" s="50" t="s">
        <v>16</v>
      </c>
      <c r="E19" s="479">
        <v>0.0</v>
      </c>
      <c r="F19" s="479">
        <v>10.0</v>
      </c>
      <c r="G19" s="480" t="s">
        <v>26</v>
      </c>
      <c r="H19" s="402"/>
      <c r="I19" s="409" t="s">
        <v>26</v>
      </c>
    </row>
    <row r="20">
      <c r="A20" s="478" t="s">
        <v>74</v>
      </c>
      <c r="B20" s="50">
        <v>1.0</v>
      </c>
      <c r="C20" s="479" t="s">
        <v>381</v>
      </c>
      <c r="D20" s="50" t="s">
        <v>16</v>
      </c>
      <c r="E20" s="479">
        <v>1.0</v>
      </c>
      <c r="F20" s="479">
        <v>8.0</v>
      </c>
      <c r="G20" s="480" t="s">
        <v>26</v>
      </c>
      <c r="H20" s="402"/>
      <c r="I20" s="409" t="s">
        <v>26</v>
      </c>
    </row>
    <row r="21">
      <c r="A21" s="478" t="s">
        <v>74</v>
      </c>
      <c r="B21" s="491">
        <v>8.0</v>
      </c>
      <c r="C21" s="479" t="s">
        <v>370</v>
      </c>
      <c r="D21" s="50" t="s">
        <v>16</v>
      </c>
      <c r="E21" s="479">
        <v>9.0</v>
      </c>
      <c r="F21" s="479">
        <v>2.0</v>
      </c>
      <c r="G21" s="480" t="s">
        <v>19</v>
      </c>
      <c r="H21" s="402"/>
      <c r="I21" s="409" t="s">
        <v>19</v>
      </c>
    </row>
    <row r="22">
      <c r="A22" s="478" t="s">
        <v>74</v>
      </c>
      <c r="B22" s="491">
        <v>12.0</v>
      </c>
      <c r="C22" s="479" t="s">
        <v>421</v>
      </c>
      <c r="D22" s="50" t="s">
        <v>448</v>
      </c>
      <c r="E22" s="479">
        <v>1.0</v>
      </c>
      <c r="F22" s="479">
        <v>11.0</v>
      </c>
      <c r="G22" s="480" t="s">
        <v>26</v>
      </c>
      <c r="H22" s="402"/>
      <c r="I22" s="409" t="s">
        <v>26</v>
      </c>
    </row>
    <row r="23">
      <c r="A23" s="478" t="s">
        <v>74</v>
      </c>
      <c r="B23" s="491">
        <v>13.0</v>
      </c>
      <c r="C23" s="479" t="s">
        <v>248</v>
      </c>
      <c r="D23" s="50" t="s">
        <v>448</v>
      </c>
      <c r="E23" s="479">
        <v>5.0</v>
      </c>
      <c r="F23" s="479">
        <v>4.0</v>
      </c>
      <c r="G23" s="480" t="s">
        <v>19</v>
      </c>
      <c r="H23" s="402"/>
      <c r="I23" s="409" t="s">
        <v>19</v>
      </c>
    </row>
    <row r="24">
      <c r="A24" s="492" t="s">
        <v>74</v>
      </c>
      <c r="B24" s="493">
        <v>15.0</v>
      </c>
      <c r="C24" s="494" t="s">
        <v>361</v>
      </c>
      <c r="D24" s="495" t="s">
        <v>16</v>
      </c>
      <c r="E24" s="494">
        <v>3.0</v>
      </c>
      <c r="F24" s="494">
        <v>5.0</v>
      </c>
      <c r="G24" s="496" t="s">
        <v>26</v>
      </c>
      <c r="H24" s="402"/>
      <c r="I24" s="409" t="s">
        <v>26</v>
      </c>
    </row>
    <row r="25">
      <c r="A25" s="365"/>
      <c r="B25" s="367"/>
      <c r="C25" s="369"/>
      <c r="D25" s="367"/>
      <c r="E25" s="369"/>
      <c r="F25" s="369"/>
      <c r="G25" s="371"/>
      <c r="H25" s="402"/>
      <c r="I25" s="16"/>
    </row>
    <row r="26">
      <c r="A26" s="434" t="s">
        <v>489</v>
      </c>
      <c r="B26" s="13"/>
      <c r="C26" s="13"/>
      <c r="D26" s="13"/>
      <c r="E26" s="13"/>
      <c r="F26" s="13"/>
      <c r="G26" s="14"/>
      <c r="H26" s="441"/>
      <c r="I26" s="16"/>
    </row>
    <row r="27">
      <c r="A27" s="504" t="s">
        <v>74</v>
      </c>
      <c r="B27" s="505">
        <v>20.0</v>
      </c>
      <c r="C27" s="506" t="s">
        <v>475</v>
      </c>
      <c r="D27" s="507" t="s">
        <v>448</v>
      </c>
      <c r="E27" s="506">
        <v>2.0</v>
      </c>
      <c r="F27" s="506">
        <v>12.0</v>
      </c>
      <c r="G27" s="509" t="s">
        <v>26</v>
      </c>
      <c r="H27" s="490"/>
      <c r="I27" s="409" t="s">
        <v>26</v>
      </c>
    </row>
    <row r="28">
      <c r="A28" s="374" t="s">
        <v>419</v>
      </c>
      <c r="B28" s="132"/>
      <c r="C28" s="132"/>
      <c r="D28" s="375" t="s">
        <v>314</v>
      </c>
      <c r="E28" s="377">
        <f t="shared" ref="E28:F28" si="1">SUM(E8:E27)</f>
        <v>60</v>
      </c>
      <c r="F28" s="377">
        <f t="shared" si="1"/>
        <v>140</v>
      </c>
      <c r="G28" s="378"/>
      <c r="H28" s="383"/>
      <c r="I28" s="476"/>
    </row>
  </sheetData>
  <mergeCells count="3">
    <mergeCell ref="A5:G6"/>
    <mergeCell ref="A26:G26"/>
    <mergeCell ref="A28:C28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8.5"/>
    <col customWidth="1" min="5" max="5" width="5.0"/>
    <col customWidth="1" min="6" max="6" width="5.13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COUNTIF(G5:G32,"W")&amp;"-"&amp;COUNTIF(G5:G32,"L")&amp;"-"&amp;COUNTIF(G5:G32,"T")&amp;"-"&amp;COUNTIF(G5:G32,"OTL")</f>
        <v>8-14-0-0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COUNTIF(I5:I33,"W")&amp;"-"&amp;COUNTIF(I5:I33,"L")&amp;"-"&amp;COUNTIF(I5:I33,"T")&amp;"-"&amp;COUNTIF(I5:I33,"OTL")</f>
        <v>7-12-0-0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482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459" t="s">
        <v>263</v>
      </c>
      <c r="B8" s="460">
        <v>18.0</v>
      </c>
      <c r="C8" s="461" t="s">
        <v>352</v>
      </c>
      <c r="D8" s="460" t="s">
        <v>16</v>
      </c>
      <c r="E8" s="461">
        <v>11.0</v>
      </c>
      <c r="F8" s="461">
        <v>1.0</v>
      </c>
      <c r="G8" s="462" t="s">
        <v>19</v>
      </c>
      <c r="H8" s="402"/>
      <c r="I8" s="16"/>
    </row>
    <row r="9">
      <c r="A9" s="478" t="s">
        <v>17</v>
      </c>
      <c r="B9" s="50">
        <v>25.0</v>
      </c>
      <c r="C9" s="479" t="s">
        <v>358</v>
      </c>
      <c r="D9" s="50" t="s">
        <v>16</v>
      </c>
      <c r="E9" s="479">
        <v>4.0</v>
      </c>
      <c r="F9" s="479">
        <v>9.0</v>
      </c>
      <c r="G9" s="480" t="s">
        <v>26</v>
      </c>
      <c r="H9" s="383"/>
      <c r="I9" s="447" t="s">
        <v>26</v>
      </c>
    </row>
    <row r="10">
      <c r="A10" s="478" t="s">
        <v>17</v>
      </c>
      <c r="B10" s="50">
        <v>30.0</v>
      </c>
      <c r="C10" s="479" t="s">
        <v>483</v>
      </c>
      <c r="D10" s="50" t="s">
        <v>16</v>
      </c>
      <c r="E10" s="479">
        <v>2.0</v>
      </c>
      <c r="F10" s="479">
        <v>10.0</v>
      </c>
      <c r="G10" s="480" t="s">
        <v>26</v>
      </c>
      <c r="H10" s="402"/>
      <c r="I10" s="409" t="s">
        <v>26</v>
      </c>
    </row>
    <row r="11">
      <c r="A11" s="405" t="s">
        <v>34</v>
      </c>
      <c r="B11" s="409">
        <v>1.0</v>
      </c>
      <c r="C11" s="408" t="s">
        <v>370</v>
      </c>
      <c r="D11" s="409" t="s">
        <v>16</v>
      </c>
      <c r="E11" s="408">
        <v>11.0</v>
      </c>
      <c r="F11" s="408">
        <v>1.0</v>
      </c>
      <c r="G11" s="411" t="s">
        <v>19</v>
      </c>
      <c r="H11" s="402"/>
      <c r="I11" s="409" t="s">
        <v>19</v>
      </c>
    </row>
    <row r="12">
      <c r="A12" s="405" t="s">
        <v>34</v>
      </c>
      <c r="B12" s="409">
        <v>4.0</v>
      </c>
      <c r="C12" s="408" t="s">
        <v>458</v>
      </c>
      <c r="D12" s="409" t="s">
        <v>448</v>
      </c>
      <c r="E12" s="408">
        <v>5.0</v>
      </c>
      <c r="F12" s="408">
        <v>6.0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7.0</v>
      </c>
      <c r="C13" s="408" t="s">
        <v>454</v>
      </c>
      <c r="D13" s="409" t="s">
        <v>16</v>
      </c>
      <c r="E13" s="408">
        <v>5.0</v>
      </c>
      <c r="F13" s="408">
        <v>8.0</v>
      </c>
      <c r="G13" s="411" t="s">
        <v>26</v>
      </c>
      <c r="H13" s="402"/>
      <c r="I13" s="409" t="s">
        <v>26</v>
      </c>
    </row>
    <row r="14">
      <c r="A14" s="478" t="s">
        <v>34</v>
      </c>
      <c r="B14" s="50">
        <v>10.0</v>
      </c>
      <c r="C14" s="479" t="s">
        <v>319</v>
      </c>
      <c r="D14" s="50" t="s">
        <v>448</v>
      </c>
      <c r="E14" s="479">
        <v>12.0</v>
      </c>
      <c r="F14" s="479">
        <v>3.0</v>
      </c>
      <c r="G14" s="480" t="s">
        <v>19</v>
      </c>
      <c r="H14" s="402"/>
      <c r="I14" s="409" t="s">
        <v>19</v>
      </c>
    </row>
    <row r="15">
      <c r="A15" s="435" t="s">
        <v>34</v>
      </c>
      <c r="B15" s="438">
        <v>11.0</v>
      </c>
      <c r="C15" s="439" t="s">
        <v>347</v>
      </c>
      <c r="D15" s="438" t="s">
        <v>448</v>
      </c>
      <c r="E15" s="439">
        <v>7.0</v>
      </c>
      <c r="F15" s="439">
        <v>4.0</v>
      </c>
      <c r="G15" s="440" t="s">
        <v>19</v>
      </c>
      <c r="H15" s="402"/>
      <c r="I15" s="409" t="s">
        <v>19</v>
      </c>
    </row>
    <row r="16">
      <c r="A16" s="499" t="s">
        <v>486</v>
      </c>
      <c r="B16" s="132"/>
      <c r="C16" s="132"/>
      <c r="D16" s="132"/>
      <c r="E16" s="132"/>
      <c r="F16" s="132"/>
      <c r="G16" s="133"/>
      <c r="H16" s="402"/>
      <c r="I16" s="16"/>
    </row>
    <row r="17">
      <c r="A17" s="398" t="s">
        <v>277</v>
      </c>
      <c r="B17" s="401">
        <v>17.0</v>
      </c>
      <c r="C17" s="400" t="s">
        <v>488</v>
      </c>
      <c r="D17" s="401" t="s">
        <v>448</v>
      </c>
      <c r="E17" s="400">
        <v>5.0</v>
      </c>
      <c r="F17" s="400">
        <v>6.0</v>
      </c>
      <c r="G17" s="403" t="s">
        <v>26</v>
      </c>
      <c r="H17" s="402"/>
      <c r="I17" s="16"/>
    </row>
    <row r="18">
      <c r="A18" s="501" t="s">
        <v>277</v>
      </c>
      <c r="B18" s="502">
        <v>18.0</v>
      </c>
      <c r="C18" s="503" t="s">
        <v>492</v>
      </c>
      <c r="D18" s="502" t="s">
        <v>448</v>
      </c>
      <c r="E18" s="503">
        <v>6.0</v>
      </c>
      <c r="F18" s="503">
        <v>14.0</v>
      </c>
      <c r="G18" s="508" t="s">
        <v>26</v>
      </c>
      <c r="H18" s="402"/>
      <c r="I18" s="16"/>
    </row>
    <row r="19">
      <c r="A19" s="510" t="s">
        <v>61</v>
      </c>
      <c r="B19" s="511">
        <v>1.0</v>
      </c>
      <c r="C19" s="512" t="s">
        <v>500</v>
      </c>
      <c r="D19" s="511" t="s">
        <v>16</v>
      </c>
      <c r="E19" s="512">
        <v>3.0</v>
      </c>
      <c r="F19" s="512">
        <v>7.0</v>
      </c>
      <c r="G19" s="513" t="s">
        <v>26</v>
      </c>
      <c r="H19" s="402"/>
      <c r="I19" s="409" t="s">
        <v>26</v>
      </c>
    </row>
    <row r="20">
      <c r="A20" s="478" t="s">
        <v>61</v>
      </c>
      <c r="B20" s="50">
        <v>6.0</v>
      </c>
      <c r="C20" s="479" t="s">
        <v>356</v>
      </c>
      <c r="D20" s="50" t="s">
        <v>448</v>
      </c>
      <c r="E20" s="479">
        <v>5.0</v>
      </c>
      <c r="F20" s="479">
        <v>9.0</v>
      </c>
      <c r="G20" s="480" t="s">
        <v>26</v>
      </c>
      <c r="H20" s="402"/>
      <c r="I20" s="409" t="s">
        <v>26</v>
      </c>
    </row>
    <row r="21">
      <c r="A21" s="478" t="s">
        <v>68</v>
      </c>
      <c r="B21" s="50">
        <v>19.0</v>
      </c>
      <c r="C21" s="381" t="s">
        <v>345</v>
      </c>
      <c r="D21" s="50" t="s">
        <v>16</v>
      </c>
      <c r="E21" s="479">
        <v>8.0</v>
      </c>
      <c r="F21" s="479">
        <v>5.0</v>
      </c>
      <c r="G21" s="480" t="s">
        <v>19</v>
      </c>
      <c r="H21" s="402"/>
      <c r="I21" s="409" t="s">
        <v>19</v>
      </c>
    </row>
    <row r="22">
      <c r="A22" s="478" t="s">
        <v>68</v>
      </c>
      <c r="B22" s="50">
        <v>26.0</v>
      </c>
      <c r="C22" s="479" t="s">
        <v>338</v>
      </c>
      <c r="D22" s="50" t="s">
        <v>16</v>
      </c>
      <c r="E22" s="479">
        <v>6.0</v>
      </c>
      <c r="F22" s="479">
        <v>5.0</v>
      </c>
      <c r="G22" s="480" t="s">
        <v>19</v>
      </c>
      <c r="H22" s="402"/>
      <c r="I22" s="409" t="s">
        <v>19</v>
      </c>
    </row>
    <row r="23">
      <c r="A23" s="478" t="s">
        <v>74</v>
      </c>
      <c r="B23" s="50">
        <v>2.0</v>
      </c>
      <c r="C23" s="479" t="s">
        <v>421</v>
      </c>
      <c r="D23" s="50" t="s">
        <v>448</v>
      </c>
      <c r="E23" s="479">
        <v>1.0</v>
      </c>
      <c r="F23" s="479">
        <v>7.0</v>
      </c>
      <c r="G23" s="480" t="s">
        <v>26</v>
      </c>
      <c r="H23" s="402"/>
      <c r="I23" s="409" t="s">
        <v>26</v>
      </c>
    </row>
    <row r="24">
      <c r="A24" s="478" t="s">
        <v>74</v>
      </c>
      <c r="B24" s="491">
        <v>8.0</v>
      </c>
      <c r="C24" s="479" t="s">
        <v>475</v>
      </c>
      <c r="D24" s="50" t="s">
        <v>448</v>
      </c>
      <c r="E24" s="479">
        <v>2.0</v>
      </c>
      <c r="F24" s="479">
        <v>5.0</v>
      </c>
      <c r="G24" s="480" t="s">
        <v>26</v>
      </c>
      <c r="H24" s="402"/>
      <c r="I24" s="409" t="s">
        <v>26</v>
      </c>
    </row>
    <row r="25">
      <c r="A25" s="478" t="s">
        <v>74</v>
      </c>
      <c r="B25" s="491">
        <v>9.0</v>
      </c>
      <c r="C25" s="479" t="s">
        <v>361</v>
      </c>
      <c r="D25" s="50" t="s">
        <v>16</v>
      </c>
      <c r="E25" s="479">
        <v>10.0</v>
      </c>
      <c r="F25" s="479">
        <v>5.0</v>
      </c>
      <c r="G25" s="480" t="s">
        <v>19</v>
      </c>
      <c r="H25" s="402"/>
      <c r="I25" s="409" t="s">
        <v>19</v>
      </c>
    </row>
    <row r="26">
      <c r="A26" s="478" t="s">
        <v>74</v>
      </c>
      <c r="B26" s="491">
        <v>11.0</v>
      </c>
      <c r="C26" s="381" t="s">
        <v>258</v>
      </c>
      <c r="D26" s="50" t="s">
        <v>448</v>
      </c>
      <c r="E26" s="479">
        <v>5.0</v>
      </c>
      <c r="F26" s="479">
        <v>11.0</v>
      </c>
      <c r="G26" s="480" t="s">
        <v>26</v>
      </c>
      <c r="H26" s="402"/>
      <c r="I26" s="409" t="s">
        <v>26</v>
      </c>
    </row>
    <row r="27">
      <c r="A27" s="478" t="s">
        <v>74</v>
      </c>
      <c r="B27" s="491">
        <v>16.0</v>
      </c>
      <c r="C27" s="479" t="s">
        <v>381</v>
      </c>
      <c r="D27" s="50" t="s">
        <v>16</v>
      </c>
      <c r="E27" s="479">
        <v>2.0</v>
      </c>
      <c r="F27" s="479">
        <v>6.0</v>
      </c>
      <c r="G27" s="480" t="s">
        <v>26</v>
      </c>
      <c r="H27" s="402"/>
      <c r="I27" s="409" t="s">
        <v>26</v>
      </c>
    </row>
    <row r="28">
      <c r="A28" s="492" t="s">
        <v>74</v>
      </c>
      <c r="B28" s="493">
        <v>21.0</v>
      </c>
      <c r="C28" s="494" t="s">
        <v>356</v>
      </c>
      <c r="D28" s="495" t="s">
        <v>448</v>
      </c>
      <c r="E28" s="494">
        <v>11.0</v>
      </c>
      <c r="F28" s="494">
        <v>4.0</v>
      </c>
      <c r="G28" s="496" t="s">
        <v>26</v>
      </c>
      <c r="H28" s="402"/>
      <c r="I28" s="409" t="s">
        <v>26</v>
      </c>
    </row>
    <row r="29">
      <c r="A29" s="365"/>
      <c r="B29" s="367"/>
      <c r="C29" s="369"/>
      <c r="D29" s="367"/>
      <c r="E29" s="369"/>
      <c r="F29" s="369"/>
      <c r="G29" s="371"/>
      <c r="H29" s="402"/>
      <c r="I29" s="16"/>
    </row>
    <row r="30">
      <c r="A30" s="434" t="s">
        <v>505</v>
      </c>
      <c r="B30" s="13"/>
      <c r="C30" s="13"/>
      <c r="D30" s="13"/>
      <c r="E30" s="13"/>
      <c r="F30" s="13"/>
      <c r="G30" s="14"/>
      <c r="H30" s="441"/>
      <c r="I30" s="16"/>
    </row>
    <row r="31">
      <c r="A31" s="485" t="s">
        <v>106</v>
      </c>
      <c r="B31" s="486">
        <v>1.0</v>
      </c>
      <c r="C31" s="487" t="s">
        <v>83</v>
      </c>
      <c r="D31" s="488" t="s">
        <v>506</v>
      </c>
      <c r="E31" s="487">
        <v>10.0</v>
      </c>
      <c r="F31" s="487">
        <v>3.0</v>
      </c>
      <c r="G31" s="489" t="s">
        <v>19</v>
      </c>
      <c r="H31" s="490"/>
      <c r="I31" s="409" t="s">
        <v>19</v>
      </c>
    </row>
    <row r="32">
      <c r="A32" s="514" t="s">
        <v>106</v>
      </c>
      <c r="B32" s="515">
        <v>10.0</v>
      </c>
      <c r="C32" s="516" t="s">
        <v>507</v>
      </c>
      <c r="D32" s="517" t="s">
        <v>506</v>
      </c>
      <c r="E32" s="516">
        <v>4.0</v>
      </c>
      <c r="F32" s="516">
        <v>5.0</v>
      </c>
      <c r="G32" s="518" t="s">
        <v>26</v>
      </c>
      <c r="H32" s="490"/>
      <c r="I32" s="409" t="s">
        <v>26</v>
      </c>
    </row>
    <row r="33">
      <c r="A33" s="374" t="s">
        <v>419</v>
      </c>
      <c r="B33" s="132"/>
      <c r="C33" s="132"/>
      <c r="D33" s="375" t="s">
        <v>314</v>
      </c>
      <c r="E33" s="377">
        <f t="shared" ref="E33:F33" si="1">SUM(E8:E32)</f>
        <v>135</v>
      </c>
      <c r="F33" s="377">
        <f t="shared" si="1"/>
        <v>134</v>
      </c>
      <c r="G33" s="378"/>
      <c r="H33" s="383"/>
      <c r="I33" s="476"/>
    </row>
  </sheetData>
  <mergeCells count="4">
    <mergeCell ref="A5:G6"/>
    <mergeCell ref="A16:G16"/>
    <mergeCell ref="A30:G30"/>
    <mergeCell ref="A33:C33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8.88"/>
    <col customWidth="1" min="5" max="5" width="4.38"/>
    <col customWidth="1" min="6" max="6" width="5.25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COUNTIF(G5:G25,"W")&amp;"-"&amp;COUNTIF(G5:G25,"L")&amp;"-"&amp;COUNTIF(G5:G25,"T")&amp;"-"&amp;COUNTIF(G5:G25,"OTL")</f>
        <v>5-13-0-0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COUNTIF(I5:I26,"W")&amp;"-"&amp;COUNTIF(I5:I26,"L")&amp;"-"&amp;COUNTIF(I5:I26,"T")&amp;"-"&amp;COUNTIF(I5:I26,"OTL")</f>
        <v>4-13-0-0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485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459" t="s">
        <v>263</v>
      </c>
      <c r="B8" s="460">
        <v>16.0</v>
      </c>
      <c r="C8" s="461" t="s">
        <v>352</v>
      </c>
      <c r="D8" s="460" t="s">
        <v>490</v>
      </c>
      <c r="E8" s="461">
        <v>6.0</v>
      </c>
      <c r="F8" s="461">
        <v>4.0</v>
      </c>
      <c r="G8" s="462" t="s">
        <v>19</v>
      </c>
      <c r="H8" s="402"/>
      <c r="I8" s="16"/>
    </row>
    <row r="9">
      <c r="A9" s="478" t="s">
        <v>17</v>
      </c>
      <c r="B9" s="50">
        <v>17.0</v>
      </c>
      <c r="C9" s="479" t="s">
        <v>483</v>
      </c>
      <c r="D9" s="50" t="s">
        <v>490</v>
      </c>
      <c r="E9" s="479">
        <v>3.0</v>
      </c>
      <c r="F9" s="479">
        <v>5.0</v>
      </c>
      <c r="G9" s="480" t="s">
        <v>26</v>
      </c>
      <c r="H9" s="383"/>
      <c r="I9" s="447" t="s">
        <v>26</v>
      </c>
    </row>
    <row r="10">
      <c r="A10" s="478" t="s">
        <v>17</v>
      </c>
      <c r="B10" s="50">
        <v>24.0</v>
      </c>
      <c r="C10" s="381" t="s">
        <v>345</v>
      </c>
      <c r="D10" s="50" t="s">
        <v>490</v>
      </c>
      <c r="E10" s="479">
        <v>4.0</v>
      </c>
      <c r="F10" s="479">
        <v>3.0</v>
      </c>
      <c r="G10" s="480" t="s">
        <v>19</v>
      </c>
      <c r="H10" s="402"/>
      <c r="I10" s="409" t="s">
        <v>19</v>
      </c>
    </row>
    <row r="11">
      <c r="A11" s="405" t="s">
        <v>17</v>
      </c>
      <c r="B11" s="409">
        <v>30.0</v>
      </c>
      <c r="C11" s="255" t="s">
        <v>487</v>
      </c>
      <c r="D11" s="409" t="s">
        <v>490</v>
      </c>
      <c r="E11" s="408">
        <v>4.0</v>
      </c>
      <c r="F11" s="408">
        <v>6.0</v>
      </c>
      <c r="G11" s="411" t="s">
        <v>26</v>
      </c>
      <c r="H11" s="402"/>
      <c r="I11" s="409" t="s">
        <v>26</v>
      </c>
    </row>
    <row r="12">
      <c r="A12" s="405" t="s">
        <v>34</v>
      </c>
      <c r="B12" s="409">
        <v>3.0</v>
      </c>
      <c r="C12" s="408" t="s">
        <v>356</v>
      </c>
      <c r="D12" s="409" t="s">
        <v>448</v>
      </c>
      <c r="E12" s="408">
        <v>6.0</v>
      </c>
      <c r="F12" s="408">
        <v>7.0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11.0</v>
      </c>
      <c r="C13" s="408" t="s">
        <v>475</v>
      </c>
      <c r="D13" s="409" t="s">
        <v>448</v>
      </c>
      <c r="E13" s="408">
        <v>3.0</v>
      </c>
      <c r="F13" s="408">
        <v>5.0</v>
      </c>
      <c r="G13" s="411" t="s">
        <v>26</v>
      </c>
      <c r="H13" s="402"/>
      <c r="I13" s="409" t="s">
        <v>26</v>
      </c>
    </row>
    <row r="14">
      <c r="A14" s="405" t="s">
        <v>34</v>
      </c>
      <c r="B14" s="409">
        <v>13.0</v>
      </c>
      <c r="C14" s="408" t="s">
        <v>499</v>
      </c>
      <c r="D14" s="409" t="s">
        <v>448</v>
      </c>
      <c r="E14" s="408">
        <v>2.0</v>
      </c>
      <c r="F14" s="408">
        <v>12.0</v>
      </c>
      <c r="G14" s="411" t="s">
        <v>26</v>
      </c>
      <c r="H14" s="402"/>
      <c r="I14" s="409" t="s">
        <v>26</v>
      </c>
    </row>
    <row r="15">
      <c r="A15" s="478" t="s">
        <v>61</v>
      </c>
      <c r="B15" s="50">
        <v>4.0</v>
      </c>
      <c r="C15" s="479" t="s">
        <v>381</v>
      </c>
      <c r="D15" s="50" t="s">
        <v>490</v>
      </c>
      <c r="E15" s="479">
        <v>5.0</v>
      </c>
      <c r="F15" s="479">
        <v>1.0</v>
      </c>
      <c r="G15" s="480" t="s">
        <v>26</v>
      </c>
      <c r="H15" s="402"/>
      <c r="I15" s="409" t="s">
        <v>26</v>
      </c>
    </row>
    <row r="16">
      <c r="A16" s="405" t="s">
        <v>61</v>
      </c>
      <c r="B16" s="409">
        <v>5.0</v>
      </c>
      <c r="C16" s="408" t="s">
        <v>213</v>
      </c>
      <c r="D16" s="409" t="s">
        <v>448</v>
      </c>
      <c r="E16" s="408">
        <v>0.0</v>
      </c>
      <c r="F16" s="408">
        <v>10.0</v>
      </c>
      <c r="G16" s="411" t="s">
        <v>26</v>
      </c>
      <c r="H16" s="402"/>
      <c r="I16" s="409" t="s">
        <v>26</v>
      </c>
    </row>
    <row r="17">
      <c r="A17" s="478" t="s">
        <v>68</v>
      </c>
      <c r="B17" s="50">
        <v>19.0</v>
      </c>
      <c r="C17" s="479" t="s">
        <v>491</v>
      </c>
      <c r="D17" s="50" t="s">
        <v>448</v>
      </c>
      <c r="E17" s="479">
        <v>2.0</v>
      </c>
      <c r="F17" s="479">
        <v>7.0</v>
      </c>
      <c r="G17" s="480" t="s">
        <v>26</v>
      </c>
      <c r="H17" s="402"/>
      <c r="I17" s="409" t="s">
        <v>26</v>
      </c>
    </row>
    <row r="18">
      <c r="A18" s="478" t="s">
        <v>68</v>
      </c>
      <c r="B18" s="50">
        <v>22.0</v>
      </c>
      <c r="C18" s="479" t="s">
        <v>370</v>
      </c>
      <c r="D18" s="50" t="s">
        <v>490</v>
      </c>
      <c r="E18" s="479">
        <v>5.0</v>
      </c>
      <c r="F18" s="479">
        <v>6.0</v>
      </c>
      <c r="G18" s="480" t="s">
        <v>26</v>
      </c>
      <c r="H18" s="402"/>
      <c r="I18" s="409" t="s">
        <v>26</v>
      </c>
    </row>
    <row r="19">
      <c r="A19" s="478" t="s">
        <v>68</v>
      </c>
      <c r="B19" s="50">
        <v>23.0</v>
      </c>
      <c r="C19" s="381" t="s">
        <v>258</v>
      </c>
      <c r="D19" s="50" t="s">
        <v>448</v>
      </c>
      <c r="E19" s="479">
        <v>5.0</v>
      </c>
      <c r="F19" s="479">
        <v>2.0</v>
      </c>
      <c r="G19" s="480" t="s">
        <v>19</v>
      </c>
      <c r="H19" s="402"/>
      <c r="I19" s="409" t="s">
        <v>19</v>
      </c>
    </row>
    <row r="20">
      <c r="A20" s="478" t="s">
        <v>68</v>
      </c>
      <c r="B20" s="50">
        <v>29.0</v>
      </c>
      <c r="C20" s="479" t="s">
        <v>504</v>
      </c>
      <c r="D20" s="50" t="s">
        <v>490</v>
      </c>
      <c r="E20" s="479">
        <v>3.0</v>
      </c>
      <c r="F20" s="479">
        <v>11.0</v>
      </c>
      <c r="G20" s="480" t="s">
        <v>26</v>
      </c>
      <c r="H20" s="402"/>
      <c r="I20" s="409" t="s">
        <v>26</v>
      </c>
    </row>
    <row r="21">
      <c r="A21" s="478" t="s">
        <v>74</v>
      </c>
      <c r="B21" s="50">
        <v>5.0</v>
      </c>
      <c r="C21" s="479" t="s">
        <v>454</v>
      </c>
      <c r="D21" s="50" t="s">
        <v>490</v>
      </c>
      <c r="E21" s="479">
        <v>6.0</v>
      </c>
      <c r="F21" s="479">
        <v>2.0</v>
      </c>
      <c r="G21" s="480" t="s">
        <v>19</v>
      </c>
      <c r="H21" s="402"/>
      <c r="I21" s="409" t="s">
        <v>19</v>
      </c>
    </row>
    <row r="22">
      <c r="A22" s="478" t="s">
        <v>74</v>
      </c>
      <c r="B22" s="491">
        <v>8.0</v>
      </c>
      <c r="C22" s="479" t="s">
        <v>494</v>
      </c>
      <c r="D22" s="50" t="s">
        <v>490</v>
      </c>
      <c r="E22" s="479">
        <v>2.0</v>
      </c>
      <c r="F22" s="479">
        <v>9.0</v>
      </c>
      <c r="G22" s="480" t="s">
        <v>26</v>
      </c>
      <c r="H22" s="402"/>
      <c r="I22" s="409" t="s">
        <v>26</v>
      </c>
    </row>
    <row r="23">
      <c r="A23" s="478" t="s">
        <v>74</v>
      </c>
      <c r="B23" s="491">
        <v>12.0</v>
      </c>
      <c r="C23" s="479" t="s">
        <v>495</v>
      </c>
      <c r="D23" s="50" t="s">
        <v>490</v>
      </c>
      <c r="E23" s="479">
        <v>3.0</v>
      </c>
      <c r="F23" s="479">
        <v>8.0</v>
      </c>
      <c r="G23" s="480" t="s">
        <v>26</v>
      </c>
      <c r="H23" s="402"/>
      <c r="I23" s="409" t="s">
        <v>26</v>
      </c>
    </row>
    <row r="24">
      <c r="A24" s="478" t="s">
        <v>74</v>
      </c>
      <c r="B24" s="491">
        <v>18.0</v>
      </c>
      <c r="C24" s="479" t="s">
        <v>206</v>
      </c>
      <c r="D24" s="50" t="s">
        <v>448</v>
      </c>
      <c r="E24" s="479">
        <v>2.0</v>
      </c>
      <c r="F24" s="479">
        <v>8.0</v>
      </c>
      <c r="G24" s="480" t="s">
        <v>26</v>
      </c>
      <c r="H24" s="402"/>
      <c r="I24" s="409" t="s">
        <v>26</v>
      </c>
    </row>
    <row r="25">
      <c r="A25" s="492" t="s">
        <v>74</v>
      </c>
      <c r="B25" s="493">
        <v>19.0</v>
      </c>
      <c r="C25" s="494" t="s">
        <v>338</v>
      </c>
      <c r="D25" s="495" t="s">
        <v>490</v>
      </c>
      <c r="E25" s="494">
        <v>13.0</v>
      </c>
      <c r="F25" s="494">
        <v>5.0</v>
      </c>
      <c r="G25" s="496" t="s">
        <v>19</v>
      </c>
      <c r="H25" s="402"/>
      <c r="I25" s="409" t="s">
        <v>19</v>
      </c>
    </row>
    <row r="26">
      <c r="A26" s="374" t="s">
        <v>419</v>
      </c>
      <c r="B26" s="132"/>
      <c r="C26" s="132"/>
      <c r="D26" s="375" t="s">
        <v>314</v>
      </c>
      <c r="E26" s="377">
        <f t="shared" ref="E26:F26" si="1">SUM(E8:E25)</f>
        <v>74</v>
      </c>
      <c r="F26" s="377">
        <f t="shared" si="1"/>
        <v>111</v>
      </c>
      <c r="G26" s="378"/>
      <c r="H26" s="383"/>
      <c r="I26" s="476"/>
    </row>
  </sheetData>
  <mergeCells count="2">
    <mergeCell ref="A5:G6"/>
    <mergeCell ref="A26:C26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7.88"/>
    <col customWidth="1" min="4" max="4" width="40.0"/>
    <col customWidth="1" min="5" max="5" width="4.75"/>
    <col customWidth="1" min="6" max="6" width="3.5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COUNTIF(G5:G25,"W")&amp;"-"&amp;COUNTIF(G5:G25,"L")&amp;"-"&amp;COUNTIF(G5:G25,"T")&amp;"-"&amp;COUNTIF(G5:G25,"OTL")</f>
        <v>12-6-0-0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COUNTIF(I5:I26,"W")&amp;"-"&amp;COUNTIF(I5:I26,"L")&amp;"-"&amp;COUNTIF(I5:I26,"T")&amp;"-"&amp;COUNTIF(I5:I26,"OTL")</f>
        <v>11-5-0-0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484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459" t="s">
        <v>263</v>
      </c>
      <c r="B8" s="460">
        <v>17.0</v>
      </c>
      <c r="C8" s="500" t="s">
        <v>487</v>
      </c>
      <c r="D8" s="460" t="s">
        <v>490</v>
      </c>
      <c r="E8" s="461">
        <v>6.0</v>
      </c>
      <c r="F8" s="461">
        <v>4.0</v>
      </c>
      <c r="G8" s="462" t="s">
        <v>19</v>
      </c>
      <c r="H8" s="402"/>
      <c r="I8" s="16"/>
    </row>
    <row r="9">
      <c r="A9" s="478" t="s">
        <v>17</v>
      </c>
      <c r="B9" s="50">
        <v>25.0</v>
      </c>
      <c r="C9" s="479" t="s">
        <v>491</v>
      </c>
      <c r="D9" s="50" t="s">
        <v>448</v>
      </c>
      <c r="E9" s="479">
        <v>5.0</v>
      </c>
      <c r="F9" s="479">
        <v>4.0</v>
      </c>
      <c r="G9" s="480" t="s">
        <v>19</v>
      </c>
      <c r="H9" s="383"/>
      <c r="I9" s="447" t="s">
        <v>19</v>
      </c>
    </row>
    <row r="10">
      <c r="A10" s="478" t="s">
        <v>17</v>
      </c>
      <c r="B10" s="50">
        <v>29.0</v>
      </c>
      <c r="C10" s="479" t="s">
        <v>475</v>
      </c>
      <c r="D10" s="50" t="s">
        <v>493</v>
      </c>
      <c r="E10" s="479">
        <v>2.0</v>
      </c>
      <c r="F10" s="479">
        <v>12.0</v>
      </c>
      <c r="G10" s="480" t="s">
        <v>26</v>
      </c>
      <c r="H10" s="402"/>
      <c r="I10" s="409" t="s">
        <v>26</v>
      </c>
    </row>
    <row r="11">
      <c r="A11" s="405" t="s">
        <v>17</v>
      </c>
      <c r="B11" s="409">
        <v>31.0</v>
      </c>
      <c r="C11" s="408" t="s">
        <v>381</v>
      </c>
      <c r="D11" s="409" t="s">
        <v>490</v>
      </c>
      <c r="E11" s="408">
        <v>11.0</v>
      </c>
      <c r="F11" s="408">
        <v>1.0</v>
      </c>
      <c r="G11" s="411" t="s">
        <v>19</v>
      </c>
      <c r="H11" s="402"/>
      <c r="I11" s="409" t="s">
        <v>19</v>
      </c>
    </row>
    <row r="12">
      <c r="A12" s="405" t="s">
        <v>34</v>
      </c>
      <c r="B12" s="409">
        <v>5.0</v>
      </c>
      <c r="C12" s="408" t="s">
        <v>494</v>
      </c>
      <c r="D12" s="409" t="s">
        <v>490</v>
      </c>
      <c r="E12" s="408">
        <v>8.0</v>
      </c>
      <c r="F12" s="408">
        <v>3.0</v>
      </c>
      <c r="G12" s="411" t="s">
        <v>19</v>
      </c>
      <c r="H12" s="402"/>
      <c r="I12" s="409" t="s">
        <v>19</v>
      </c>
    </row>
    <row r="13">
      <c r="A13" s="405" t="s">
        <v>34</v>
      </c>
      <c r="B13" s="409">
        <v>14.0</v>
      </c>
      <c r="C13" s="408" t="s">
        <v>495</v>
      </c>
      <c r="D13" s="409" t="s">
        <v>490</v>
      </c>
      <c r="E13" s="408">
        <v>5.0</v>
      </c>
      <c r="F13" s="408">
        <v>6.0</v>
      </c>
      <c r="G13" s="411" t="s">
        <v>26</v>
      </c>
      <c r="H13" s="402"/>
      <c r="I13" s="409" t="s">
        <v>26</v>
      </c>
    </row>
    <row r="14">
      <c r="A14" s="405" t="s">
        <v>34</v>
      </c>
      <c r="B14" s="409">
        <v>15.0</v>
      </c>
      <c r="C14" s="408" t="s">
        <v>213</v>
      </c>
      <c r="D14" s="409" t="s">
        <v>448</v>
      </c>
      <c r="E14" s="408">
        <v>4.0</v>
      </c>
      <c r="F14" s="408">
        <v>9.0</v>
      </c>
      <c r="G14" s="411" t="s">
        <v>26</v>
      </c>
      <c r="H14" s="402"/>
      <c r="I14" s="409" t="s">
        <v>26</v>
      </c>
    </row>
    <row r="15">
      <c r="A15" s="478" t="s">
        <v>34</v>
      </c>
      <c r="B15" s="50">
        <v>18.0</v>
      </c>
      <c r="C15" s="479" t="s">
        <v>248</v>
      </c>
      <c r="D15" s="50" t="s">
        <v>496</v>
      </c>
      <c r="E15" s="479">
        <v>13.0</v>
      </c>
      <c r="F15" s="479">
        <v>3.0</v>
      </c>
      <c r="G15" s="480" t="s">
        <v>19</v>
      </c>
      <c r="H15" s="402"/>
      <c r="I15" s="409" t="s">
        <v>19</v>
      </c>
    </row>
    <row r="16">
      <c r="A16" s="405" t="s">
        <v>34</v>
      </c>
      <c r="B16" s="409">
        <v>21.0</v>
      </c>
      <c r="C16" s="408" t="s">
        <v>497</v>
      </c>
      <c r="D16" s="409" t="s">
        <v>490</v>
      </c>
      <c r="E16" s="408">
        <v>12.0</v>
      </c>
      <c r="F16" s="408">
        <v>2.0</v>
      </c>
      <c r="G16" s="411" t="s">
        <v>19</v>
      </c>
      <c r="H16" s="402"/>
      <c r="I16" s="409" t="s">
        <v>19</v>
      </c>
    </row>
    <row r="17">
      <c r="A17" s="478" t="s">
        <v>34</v>
      </c>
      <c r="B17" s="50">
        <v>22.0</v>
      </c>
      <c r="C17" s="381" t="s">
        <v>498</v>
      </c>
      <c r="D17" s="50" t="s">
        <v>448</v>
      </c>
      <c r="E17" s="479">
        <v>8.0</v>
      </c>
      <c r="F17" s="479">
        <v>2.0</v>
      </c>
      <c r="G17" s="480" t="s">
        <v>19</v>
      </c>
      <c r="H17" s="402"/>
      <c r="I17" s="409" t="s">
        <v>19</v>
      </c>
    </row>
    <row r="18">
      <c r="A18" s="478" t="s">
        <v>61</v>
      </c>
      <c r="B18" s="50">
        <v>12.0</v>
      </c>
      <c r="C18" s="479" t="s">
        <v>361</v>
      </c>
      <c r="D18" s="50" t="s">
        <v>490</v>
      </c>
      <c r="E18" s="479">
        <v>3.0</v>
      </c>
      <c r="F18" s="479">
        <v>10.0</v>
      </c>
      <c r="G18" s="480" t="s">
        <v>26</v>
      </c>
      <c r="H18" s="402"/>
      <c r="I18" s="409" t="s">
        <v>26</v>
      </c>
    </row>
    <row r="19">
      <c r="A19" s="478" t="s">
        <v>68</v>
      </c>
      <c r="B19" s="50">
        <v>23.0</v>
      </c>
      <c r="C19" s="479" t="s">
        <v>358</v>
      </c>
      <c r="D19" s="50" t="s">
        <v>490</v>
      </c>
      <c r="E19" s="479">
        <v>4.0</v>
      </c>
      <c r="F19" s="479">
        <v>7.0</v>
      </c>
      <c r="G19" s="480" t="s">
        <v>26</v>
      </c>
      <c r="H19" s="402"/>
      <c r="I19" s="409" t="s">
        <v>26</v>
      </c>
    </row>
    <row r="20">
      <c r="A20" s="478" t="s">
        <v>68</v>
      </c>
      <c r="B20" s="50">
        <v>30.0</v>
      </c>
      <c r="C20" s="479" t="s">
        <v>418</v>
      </c>
      <c r="D20" s="50" t="s">
        <v>490</v>
      </c>
      <c r="E20" s="479">
        <v>3.0</v>
      </c>
      <c r="F20" s="479">
        <v>1.0</v>
      </c>
      <c r="G20" s="480" t="s">
        <v>19</v>
      </c>
      <c r="H20" s="402"/>
      <c r="I20" s="409" t="s">
        <v>19</v>
      </c>
    </row>
    <row r="21">
      <c r="A21" s="478" t="s">
        <v>74</v>
      </c>
      <c r="B21" s="50">
        <v>6.0</v>
      </c>
      <c r="C21" s="479" t="s">
        <v>458</v>
      </c>
      <c r="D21" s="50" t="s">
        <v>448</v>
      </c>
      <c r="E21" s="479">
        <v>10.0</v>
      </c>
      <c r="F21" s="479">
        <v>3.0</v>
      </c>
      <c r="G21" s="480" t="s">
        <v>19</v>
      </c>
      <c r="H21" s="402"/>
      <c r="I21" s="409" t="s">
        <v>19</v>
      </c>
    </row>
    <row r="22">
      <c r="A22" s="478" t="s">
        <v>74</v>
      </c>
      <c r="B22" s="491">
        <v>10.0</v>
      </c>
      <c r="C22" s="479" t="s">
        <v>356</v>
      </c>
      <c r="D22" s="50" t="s">
        <v>501</v>
      </c>
      <c r="E22" s="479">
        <v>8.0</v>
      </c>
      <c r="F22" s="479">
        <v>3.0</v>
      </c>
      <c r="G22" s="480" t="s">
        <v>19</v>
      </c>
      <c r="H22" s="402"/>
      <c r="I22" s="409" t="s">
        <v>19</v>
      </c>
    </row>
    <row r="23">
      <c r="A23" s="478" t="s">
        <v>74</v>
      </c>
      <c r="B23" s="491">
        <v>17.0</v>
      </c>
      <c r="C23" s="479" t="s">
        <v>356</v>
      </c>
      <c r="D23" s="50" t="s">
        <v>501</v>
      </c>
      <c r="E23" s="479">
        <v>9.0</v>
      </c>
      <c r="F23" s="479">
        <v>1.0</v>
      </c>
      <c r="G23" s="480" t="s">
        <v>19</v>
      </c>
      <c r="H23" s="402"/>
      <c r="I23" s="409" t="s">
        <v>19</v>
      </c>
    </row>
    <row r="24">
      <c r="A24" s="414" t="s">
        <v>382</v>
      </c>
      <c r="B24" s="481">
        <v>21.0</v>
      </c>
      <c r="C24" s="418" t="s">
        <v>502</v>
      </c>
      <c r="D24" s="419" t="s">
        <v>503</v>
      </c>
      <c r="E24" s="418">
        <v>2.0</v>
      </c>
      <c r="F24" s="418">
        <v>6.0</v>
      </c>
      <c r="G24" s="420" t="s">
        <v>26</v>
      </c>
      <c r="H24" s="402"/>
      <c r="I24" s="16"/>
    </row>
    <row r="25">
      <c r="A25" s="492" t="s">
        <v>74</v>
      </c>
      <c r="B25" s="493">
        <v>27.0</v>
      </c>
      <c r="C25" s="494" t="s">
        <v>370</v>
      </c>
      <c r="D25" s="495" t="s">
        <v>490</v>
      </c>
      <c r="E25" s="494">
        <v>5.0</v>
      </c>
      <c r="F25" s="494">
        <v>4.0</v>
      </c>
      <c r="G25" s="496" t="s">
        <v>19</v>
      </c>
      <c r="H25" s="402"/>
      <c r="I25" s="409" t="s">
        <v>19</v>
      </c>
    </row>
    <row r="26">
      <c r="A26" s="374" t="s">
        <v>419</v>
      </c>
      <c r="B26" s="132"/>
      <c r="C26" s="132"/>
      <c r="D26" s="375" t="s">
        <v>314</v>
      </c>
      <c r="E26" s="377">
        <f t="shared" ref="E26:F26" si="1">SUM(E8:E25)</f>
        <v>118</v>
      </c>
      <c r="F26" s="377">
        <f t="shared" si="1"/>
        <v>81</v>
      </c>
      <c r="G26" s="378"/>
      <c r="H26" s="383"/>
      <c r="I26" s="476"/>
    </row>
  </sheetData>
  <mergeCells count="2">
    <mergeCell ref="A5:G6"/>
    <mergeCell ref="A26:C26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40.0"/>
    <col customWidth="1" min="5" max="5" width="4.38"/>
    <col customWidth="1" min="6" max="6" width="3.5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COUNTIF(G5:G30,"W")&amp;"-"&amp;COUNTIF(G5:G30,"L")&amp;"-"&amp;COUNTIF(G5:G30,"T")&amp;"-"&amp;COUNTIF(G5:G30,"OTL")</f>
        <v>9-11-1-0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COUNTIF(I5:I31,"W")&amp;"-"&amp;COUNTIF(I5:I31,"L")&amp;"-"&amp;COUNTIF(I5:I31,"T")&amp;"-"&amp;COUNTIF(I5:I31,"OTL")</f>
        <v>7-11-1-0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508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18.0</v>
      </c>
      <c r="C8" s="521" t="s">
        <v>458</v>
      </c>
      <c r="D8" s="520" t="s">
        <v>510</v>
      </c>
      <c r="E8" s="521">
        <v>8.0</v>
      </c>
      <c r="F8" s="521">
        <v>2.0</v>
      </c>
      <c r="G8" s="522" t="s">
        <v>19</v>
      </c>
      <c r="H8" s="402"/>
      <c r="I8" s="16"/>
    </row>
    <row r="9">
      <c r="A9" s="523" t="s">
        <v>263</v>
      </c>
      <c r="B9" s="524">
        <v>19.0</v>
      </c>
      <c r="C9" s="525" t="s">
        <v>454</v>
      </c>
      <c r="D9" s="524" t="s">
        <v>490</v>
      </c>
      <c r="E9" s="525">
        <v>7.0</v>
      </c>
      <c r="F9" s="525">
        <v>2.0</v>
      </c>
      <c r="G9" s="526" t="s">
        <v>19</v>
      </c>
      <c r="H9" s="383"/>
      <c r="I9" s="476"/>
    </row>
    <row r="10">
      <c r="A10" s="478" t="s">
        <v>17</v>
      </c>
      <c r="B10" s="50">
        <v>25.0</v>
      </c>
      <c r="C10" s="479" t="s">
        <v>494</v>
      </c>
      <c r="D10" s="50" t="s">
        <v>490</v>
      </c>
      <c r="E10" s="479">
        <v>3.0</v>
      </c>
      <c r="F10" s="479">
        <v>1.0</v>
      </c>
      <c r="G10" s="480" t="s">
        <v>19</v>
      </c>
      <c r="H10" s="402"/>
      <c r="I10" s="409" t="s">
        <v>19</v>
      </c>
    </row>
    <row r="11">
      <c r="A11" s="405" t="s">
        <v>17</v>
      </c>
      <c r="B11" s="409">
        <v>30.0</v>
      </c>
      <c r="C11" s="255" t="s">
        <v>487</v>
      </c>
      <c r="D11" s="409" t="s">
        <v>490</v>
      </c>
      <c r="E11" s="408">
        <v>6.0</v>
      </c>
      <c r="F11" s="408">
        <v>1.0</v>
      </c>
      <c r="G11" s="411" t="s">
        <v>19</v>
      </c>
      <c r="H11" s="402"/>
      <c r="I11" s="409" t="s">
        <v>19</v>
      </c>
    </row>
    <row r="12">
      <c r="A12" s="405" t="s">
        <v>34</v>
      </c>
      <c r="B12" s="409">
        <v>1.0</v>
      </c>
      <c r="C12" s="408" t="s">
        <v>370</v>
      </c>
      <c r="D12" s="409" t="s">
        <v>490</v>
      </c>
      <c r="E12" s="408">
        <v>0.0</v>
      </c>
      <c r="F12" s="408">
        <v>8.0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9.0</v>
      </c>
      <c r="C13" s="408" t="s">
        <v>213</v>
      </c>
      <c r="D13" s="409" t="s">
        <v>512</v>
      </c>
      <c r="E13" s="408">
        <v>0.0</v>
      </c>
      <c r="F13" s="408">
        <v>7.0</v>
      </c>
      <c r="G13" s="411" t="s">
        <v>26</v>
      </c>
      <c r="H13" s="402"/>
      <c r="I13" s="409" t="s">
        <v>26</v>
      </c>
    </row>
    <row r="14">
      <c r="A14" s="405" t="s">
        <v>34</v>
      </c>
      <c r="B14" s="409">
        <v>13.0</v>
      </c>
      <c r="C14" s="408" t="s">
        <v>475</v>
      </c>
      <c r="D14" s="50" t="s">
        <v>493</v>
      </c>
      <c r="E14" s="408">
        <v>2.0</v>
      </c>
      <c r="F14" s="408">
        <v>7.0</v>
      </c>
      <c r="G14" s="411" t="s">
        <v>26</v>
      </c>
      <c r="H14" s="402"/>
      <c r="I14" s="409" t="s">
        <v>26</v>
      </c>
    </row>
    <row r="15">
      <c r="A15" s="478" t="s">
        <v>34</v>
      </c>
      <c r="B15" s="50">
        <v>22.0</v>
      </c>
      <c r="C15" s="479" t="s">
        <v>513</v>
      </c>
      <c r="D15" s="50" t="s">
        <v>514</v>
      </c>
      <c r="E15" s="479">
        <v>8.0</v>
      </c>
      <c r="F15" s="479">
        <v>8.0</v>
      </c>
      <c r="G15" s="480" t="s">
        <v>73</v>
      </c>
      <c r="H15" s="402"/>
      <c r="I15" s="409" t="s">
        <v>73</v>
      </c>
    </row>
    <row r="16">
      <c r="A16" s="405" t="s">
        <v>61</v>
      </c>
      <c r="B16" s="409">
        <v>6.0</v>
      </c>
      <c r="C16" s="408" t="s">
        <v>497</v>
      </c>
      <c r="D16" s="409" t="s">
        <v>490</v>
      </c>
      <c r="E16" s="408">
        <v>5.0</v>
      </c>
      <c r="F16" s="408">
        <v>7.0</v>
      </c>
      <c r="G16" s="411" t="s">
        <v>26</v>
      </c>
      <c r="H16" s="402"/>
      <c r="I16" s="409" t="s">
        <v>26</v>
      </c>
    </row>
    <row r="17">
      <c r="A17" s="478" t="s">
        <v>61</v>
      </c>
      <c r="B17" s="50">
        <v>12.0</v>
      </c>
      <c r="C17" s="479" t="s">
        <v>319</v>
      </c>
      <c r="D17" s="50" t="s">
        <v>518</v>
      </c>
      <c r="E17" s="479">
        <v>7.0</v>
      </c>
      <c r="F17" s="479">
        <v>8.0</v>
      </c>
      <c r="G17" s="480" t="s">
        <v>26</v>
      </c>
      <c r="H17" s="402"/>
      <c r="I17" s="409" t="s">
        <v>26</v>
      </c>
    </row>
    <row r="18">
      <c r="A18" s="478" t="s">
        <v>68</v>
      </c>
      <c r="B18" s="50">
        <v>17.0</v>
      </c>
      <c r="C18" s="479" t="s">
        <v>504</v>
      </c>
      <c r="D18" s="50" t="s">
        <v>490</v>
      </c>
      <c r="E18" s="479">
        <v>5.0</v>
      </c>
      <c r="F18" s="479">
        <v>6.0</v>
      </c>
      <c r="G18" s="480" t="s">
        <v>26</v>
      </c>
      <c r="H18" s="402"/>
      <c r="I18" s="409" t="s">
        <v>26</v>
      </c>
    </row>
    <row r="19">
      <c r="A19" s="478" t="s">
        <v>68</v>
      </c>
      <c r="B19" s="50">
        <v>19.0</v>
      </c>
      <c r="C19" s="479" t="s">
        <v>519</v>
      </c>
      <c r="D19" s="50" t="s">
        <v>521</v>
      </c>
      <c r="E19" s="479">
        <v>8.0</v>
      </c>
      <c r="F19" s="479">
        <v>3.0</v>
      </c>
      <c r="G19" s="480" t="s">
        <v>19</v>
      </c>
      <c r="H19" s="402"/>
      <c r="I19" s="409" t="s">
        <v>19</v>
      </c>
    </row>
    <row r="20">
      <c r="A20" s="478" t="s">
        <v>68</v>
      </c>
      <c r="B20" s="50">
        <v>21.0</v>
      </c>
      <c r="C20" s="479" t="s">
        <v>248</v>
      </c>
      <c r="D20" s="50" t="s">
        <v>496</v>
      </c>
      <c r="E20" s="479">
        <v>8.0</v>
      </c>
      <c r="F20" s="479">
        <v>1.0</v>
      </c>
      <c r="G20" s="480" t="s">
        <v>19</v>
      </c>
      <c r="H20" s="402"/>
      <c r="I20" s="409" t="s">
        <v>19</v>
      </c>
    </row>
    <row r="21">
      <c r="A21" s="478" t="s">
        <v>68</v>
      </c>
      <c r="B21" s="50">
        <v>24.0</v>
      </c>
      <c r="C21" s="479" t="s">
        <v>418</v>
      </c>
      <c r="D21" s="50" t="s">
        <v>490</v>
      </c>
      <c r="E21" s="479">
        <v>2.0</v>
      </c>
      <c r="F21" s="479">
        <v>8.0</v>
      </c>
      <c r="G21" s="480" t="s">
        <v>26</v>
      </c>
      <c r="H21" s="402"/>
      <c r="I21" s="409" t="s">
        <v>26</v>
      </c>
    </row>
    <row r="22">
      <c r="A22" s="478" t="s">
        <v>68</v>
      </c>
      <c r="B22" s="491">
        <v>30.0</v>
      </c>
      <c r="C22" s="479" t="s">
        <v>499</v>
      </c>
      <c r="D22" s="50" t="s">
        <v>523</v>
      </c>
      <c r="E22" s="479">
        <v>2.0</v>
      </c>
      <c r="F22" s="479">
        <v>5.0</v>
      </c>
      <c r="G22" s="480" t="s">
        <v>26</v>
      </c>
      <c r="H22" s="402"/>
      <c r="I22" s="409" t="s">
        <v>26</v>
      </c>
    </row>
    <row r="23">
      <c r="A23" s="478" t="s">
        <v>74</v>
      </c>
      <c r="B23" s="491">
        <v>7.0</v>
      </c>
      <c r="C23" s="479" t="s">
        <v>338</v>
      </c>
      <c r="D23" s="50" t="s">
        <v>490</v>
      </c>
      <c r="E23" s="479">
        <v>10.0</v>
      </c>
      <c r="F23" s="479">
        <v>7.0</v>
      </c>
      <c r="G23" s="480" t="s">
        <v>19</v>
      </c>
      <c r="H23" s="402"/>
      <c r="I23" s="409" t="s">
        <v>19</v>
      </c>
    </row>
    <row r="24">
      <c r="A24" s="478" t="s">
        <v>74</v>
      </c>
      <c r="B24" s="491">
        <v>14.0</v>
      </c>
      <c r="C24" s="479" t="s">
        <v>361</v>
      </c>
      <c r="D24" s="50" t="s">
        <v>490</v>
      </c>
      <c r="E24" s="479">
        <v>2.0</v>
      </c>
      <c r="F24" s="479">
        <v>3.0</v>
      </c>
      <c r="G24" s="480" t="s">
        <v>26</v>
      </c>
      <c r="H24" s="402"/>
      <c r="I24" s="409" t="s">
        <v>26</v>
      </c>
    </row>
    <row r="25">
      <c r="A25" s="405" t="s">
        <v>74</v>
      </c>
      <c r="B25" s="454">
        <v>18.0</v>
      </c>
      <c r="C25" s="408" t="s">
        <v>356</v>
      </c>
      <c r="D25" s="409" t="s">
        <v>501</v>
      </c>
      <c r="E25" s="408">
        <v>4.0</v>
      </c>
      <c r="F25" s="408">
        <v>2.0</v>
      </c>
      <c r="G25" s="411" t="s">
        <v>19</v>
      </c>
      <c r="H25" s="402"/>
      <c r="I25" s="409" t="s">
        <v>19</v>
      </c>
    </row>
    <row r="26">
      <c r="A26" s="405" t="s">
        <v>74</v>
      </c>
      <c r="B26" s="454">
        <v>21.0</v>
      </c>
      <c r="C26" s="408" t="s">
        <v>358</v>
      </c>
      <c r="D26" s="409" t="s">
        <v>490</v>
      </c>
      <c r="E26" s="408">
        <v>1.0</v>
      </c>
      <c r="F26" s="408">
        <v>2.0</v>
      </c>
      <c r="G26" s="411" t="s">
        <v>26</v>
      </c>
      <c r="H26" s="402"/>
      <c r="I26" s="409" t="s">
        <v>26</v>
      </c>
    </row>
    <row r="27">
      <c r="A27" s="478" t="s">
        <v>106</v>
      </c>
      <c r="B27" s="491">
        <v>1.0</v>
      </c>
      <c r="C27" s="479" t="s">
        <v>347</v>
      </c>
      <c r="D27" s="50" t="s">
        <v>348</v>
      </c>
      <c r="E27" s="479">
        <v>4.0</v>
      </c>
      <c r="F27" s="479">
        <v>3.0</v>
      </c>
      <c r="G27" s="480" t="s">
        <v>19</v>
      </c>
      <c r="H27" s="402"/>
      <c r="I27" s="409" t="s">
        <v>19</v>
      </c>
    </row>
    <row r="28">
      <c r="A28" s="528"/>
      <c r="B28" s="389"/>
      <c r="C28" s="389"/>
      <c r="D28" s="249"/>
      <c r="E28" s="18"/>
      <c r="F28" s="18"/>
      <c r="G28" s="453"/>
      <c r="H28" s="383"/>
      <c r="I28" s="476"/>
    </row>
    <row r="29">
      <c r="A29" s="434" t="s">
        <v>528</v>
      </c>
      <c r="B29" s="13"/>
      <c r="C29" s="13"/>
      <c r="D29" s="13"/>
      <c r="E29" s="13"/>
      <c r="F29" s="13"/>
      <c r="G29" s="14"/>
      <c r="H29" s="383"/>
      <c r="I29" s="476"/>
    </row>
    <row r="30">
      <c r="A30" s="533" t="s">
        <v>106</v>
      </c>
      <c r="B30" s="473">
        <v>7.0</v>
      </c>
      <c r="C30" s="314" t="s">
        <v>475</v>
      </c>
      <c r="D30" s="443" t="s">
        <v>493</v>
      </c>
      <c r="E30" s="314">
        <v>1.0</v>
      </c>
      <c r="F30" s="314">
        <v>8.0</v>
      </c>
      <c r="G30" s="444" t="s">
        <v>26</v>
      </c>
      <c r="H30" s="528"/>
      <c r="I30" s="409" t="s">
        <v>26</v>
      </c>
    </row>
    <row r="31">
      <c r="A31" s="374" t="s">
        <v>419</v>
      </c>
      <c r="B31" s="132"/>
      <c r="C31" s="132"/>
      <c r="D31" s="375" t="s">
        <v>314</v>
      </c>
      <c r="E31" s="377">
        <f t="shared" ref="E31:F31" si="1">SUM(E8:E30)</f>
        <v>93</v>
      </c>
      <c r="F31" s="377">
        <f t="shared" si="1"/>
        <v>99</v>
      </c>
      <c r="G31" s="378"/>
      <c r="H31" s="383"/>
      <c r="I31" s="476"/>
    </row>
  </sheetData>
  <mergeCells count="3">
    <mergeCell ref="A5:G6"/>
    <mergeCell ref="A29:G29"/>
    <mergeCell ref="A31:C3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7.38"/>
    <col customWidth="1" min="4" max="4" width="40.0"/>
    <col customWidth="1" min="5" max="5" width="4.75"/>
    <col customWidth="1" min="6" max="6" width="4.63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COUNTIF(G5:G28,"W")&amp;"-"&amp;COUNTIF(G5:G28,"L")&amp;"-"&amp;COUNTIF(G5:G28,"T")&amp;"-"&amp;COUNTIF(G5:G28,"OTL")</f>
        <v>16-2-1-0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COUNTIF(I5:I29,"W")&amp;"-"&amp;COUNTIF(I5:I29,"L")&amp;"-"&amp;COUNTIF(I5:I29,"T")&amp;"-"&amp;COUNTIF(I5:I29,"OTL")</f>
        <v>16-3-1-0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509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0" t="s">
        <v>17</v>
      </c>
      <c r="B8" s="511">
        <v>20.0</v>
      </c>
      <c r="C8" s="512" t="s">
        <v>358</v>
      </c>
      <c r="D8" s="511" t="s">
        <v>490</v>
      </c>
      <c r="E8" s="512">
        <v>1.0</v>
      </c>
      <c r="F8" s="512">
        <v>12.0</v>
      </c>
      <c r="G8" s="513" t="s">
        <v>26</v>
      </c>
      <c r="H8" s="402"/>
      <c r="I8" s="409" t="s">
        <v>26</v>
      </c>
    </row>
    <row r="9">
      <c r="A9" s="478" t="s">
        <v>17</v>
      </c>
      <c r="B9" s="50">
        <v>26.0</v>
      </c>
      <c r="C9" s="381" t="s">
        <v>498</v>
      </c>
      <c r="D9" s="50" t="s">
        <v>448</v>
      </c>
      <c r="E9" s="479">
        <v>6.0</v>
      </c>
      <c r="F9" s="479">
        <v>4.0</v>
      </c>
      <c r="G9" s="480" t="s">
        <v>19</v>
      </c>
      <c r="H9" s="383"/>
      <c r="I9" s="447" t="s">
        <v>19</v>
      </c>
    </row>
    <row r="10">
      <c r="A10" s="478" t="s">
        <v>17</v>
      </c>
      <c r="B10" s="50">
        <v>27.0</v>
      </c>
      <c r="C10" s="479" t="s">
        <v>381</v>
      </c>
      <c r="D10" s="50" t="s">
        <v>490</v>
      </c>
      <c r="E10" s="479">
        <v>4.0</v>
      </c>
      <c r="F10" s="479">
        <v>7.0</v>
      </c>
      <c r="G10" s="480" t="s">
        <v>26</v>
      </c>
      <c r="H10" s="402"/>
      <c r="I10" s="409" t="s">
        <v>26</v>
      </c>
    </row>
    <row r="11">
      <c r="A11" s="405" t="s">
        <v>17</v>
      </c>
      <c r="B11" s="409">
        <v>30.0</v>
      </c>
      <c r="C11" s="408" t="s">
        <v>356</v>
      </c>
      <c r="D11" s="409" t="s">
        <v>501</v>
      </c>
      <c r="E11" s="408">
        <v>5.0</v>
      </c>
      <c r="F11" s="408">
        <v>4.0</v>
      </c>
      <c r="G11" s="411" t="s">
        <v>19</v>
      </c>
      <c r="H11" s="402"/>
      <c r="I11" s="409" t="s">
        <v>19</v>
      </c>
    </row>
    <row r="12">
      <c r="A12" s="405" t="s">
        <v>34</v>
      </c>
      <c r="B12" s="409">
        <v>2.0</v>
      </c>
      <c r="C12" s="255" t="s">
        <v>487</v>
      </c>
      <c r="D12" s="409" t="s">
        <v>490</v>
      </c>
      <c r="E12" s="408">
        <v>5.0</v>
      </c>
      <c r="F12" s="408">
        <v>5.0</v>
      </c>
      <c r="G12" s="411" t="s">
        <v>73</v>
      </c>
      <c r="H12" s="402"/>
      <c r="I12" s="409" t="s">
        <v>73</v>
      </c>
    </row>
    <row r="13">
      <c r="A13" s="405" t="s">
        <v>34</v>
      </c>
      <c r="B13" s="409">
        <v>9.0</v>
      </c>
      <c r="C13" s="408" t="s">
        <v>497</v>
      </c>
      <c r="D13" s="409" t="s">
        <v>490</v>
      </c>
      <c r="E13" s="408">
        <v>6.0</v>
      </c>
      <c r="F13" s="408">
        <v>4.0</v>
      </c>
      <c r="G13" s="411" t="s">
        <v>19</v>
      </c>
      <c r="H13" s="402"/>
      <c r="I13" s="409" t="s">
        <v>19</v>
      </c>
    </row>
    <row r="14">
      <c r="A14" s="405" t="s">
        <v>434</v>
      </c>
      <c r="B14" s="409">
        <v>14.0</v>
      </c>
      <c r="C14" s="408" t="s">
        <v>166</v>
      </c>
      <c r="D14" s="409" t="s">
        <v>512</v>
      </c>
      <c r="E14" s="408">
        <v>2.0</v>
      </c>
      <c r="F14" s="408">
        <v>5.0</v>
      </c>
      <c r="G14" s="411" t="s">
        <v>19</v>
      </c>
      <c r="H14" s="402"/>
      <c r="I14" s="409" t="s">
        <v>19</v>
      </c>
    </row>
    <row r="15">
      <c r="A15" s="478" t="s">
        <v>34</v>
      </c>
      <c r="B15" s="50">
        <v>16.0</v>
      </c>
      <c r="C15" s="479" t="s">
        <v>515</v>
      </c>
      <c r="D15" s="50" t="s">
        <v>516</v>
      </c>
      <c r="E15" s="479">
        <v>13.0</v>
      </c>
      <c r="F15" s="479">
        <v>2.0</v>
      </c>
      <c r="G15" s="480" t="s">
        <v>19</v>
      </c>
      <c r="H15" s="402"/>
      <c r="I15" s="409" t="s">
        <v>19</v>
      </c>
    </row>
    <row r="16">
      <c r="A16" s="405" t="s">
        <v>34</v>
      </c>
      <c r="B16" s="409">
        <v>23.0</v>
      </c>
      <c r="C16" s="408" t="s">
        <v>292</v>
      </c>
      <c r="D16" s="409" t="s">
        <v>510</v>
      </c>
      <c r="E16" s="408">
        <v>8.0</v>
      </c>
      <c r="F16" s="408">
        <v>6.0</v>
      </c>
      <c r="G16" s="411" t="s">
        <v>19</v>
      </c>
      <c r="H16" s="402"/>
      <c r="I16" s="409" t="s">
        <v>19</v>
      </c>
    </row>
    <row r="17">
      <c r="A17" s="478" t="s">
        <v>61</v>
      </c>
      <c r="B17" s="50">
        <v>4.0</v>
      </c>
      <c r="C17" s="479" t="s">
        <v>248</v>
      </c>
      <c r="D17" s="50" t="s">
        <v>496</v>
      </c>
      <c r="E17" s="479">
        <v>13.0</v>
      </c>
      <c r="F17" s="479">
        <v>5.0</v>
      </c>
      <c r="G17" s="480" t="s">
        <v>19</v>
      </c>
      <c r="H17" s="402"/>
      <c r="I17" s="409" t="s">
        <v>19</v>
      </c>
    </row>
    <row r="18">
      <c r="A18" s="478" t="s">
        <v>520</v>
      </c>
      <c r="B18" s="50">
        <v>7.0</v>
      </c>
      <c r="C18" s="479" t="s">
        <v>331</v>
      </c>
      <c r="D18" s="50" t="s">
        <v>490</v>
      </c>
      <c r="E18" s="479">
        <v>0.0</v>
      </c>
      <c r="F18" s="479">
        <v>10.0</v>
      </c>
      <c r="G18" s="480" t="s">
        <v>19</v>
      </c>
      <c r="H18" s="402"/>
      <c r="I18" s="409" t="s">
        <v>19</v>
      </c>
    </row>
    <row r="19">
      <c r="A19" s="478" t="s">
        <v>68</v>
      </c>
      <c r="B19" s="50">
        <v>19.0</v>
      </c>
      <c r="C19" s="479" t="s">
        <v>522</v>
      </c>
      <c r="D19" s="50" t="s">
        <v>490</v>
      </c>
      <c r="E19" s="479">
        <v>11.0</v>
      </c>
      <c r="F19" s="479">
        <v>1.0</v>
      </c>
      <c r="G19" s="480" t="s">
        <v>19</v>
      </c>
      <c r="H19" s="402"/>
      <c r="I19" s="409" t="s">
        <v>19</v>
      </c>
    </row>
    <row r="20">
      <c r="A20" s="478" t="s">
        <v>68</v>
      </c>
      <c r="B20" s="50">
        <v>31.0</v>
      </c>
      <c r="C20" s="479" t="s">
        <v>499</v>
      </c>
      <c r="D20" s="50" t="s">
        <v>523</v>
      </c>
      <c r="E20" s="479">
        <v>5.0</v>
      </c>
      <c r="F20" s="479">
        <v>0.0</v>
      </c>
      <c r="G20" s="480" t="s">
        <v>19</v>
      </c>
      <c r="H20" s="402"/>
      <c r="I20" s="409" t="s">
        <v>19</v>
      </c>
    </row>
    <row r="21">
      <c r="A21" s="478" t="s">
        <v>74</v>
      </c>
      <c r="B21" s="50">
        <v>1.0</v>
      </c>
      <c r="C21" s="479" t="s">
        <v>330</v>
      </c>
      <c r="D21" s="50" t="s">
        <v>490</v>
      </c>
      <c r="E21" s="479">
        <v>8.0</v>
      </c>
      <c r="F21" s="479">
        <v>4.0</v>
      </c>
      <c r="G21" s="480" t="s">
        <v>19</v>
      </c>
      <c r="H21" s="402"/>
      <c r="I21" s="409" t="s">
        <v>19</v>
      </c>
    </row>
    <row r="22">
      <c r="A22" s="478" t="s">
        <v>74</v>
      </c>
      <c r="B22" s="491">
        <v>8.0</v>
      </c>
      <c r="C22" s="479" t="s">
        <v>338</v>
      </c>
      <c r="D22" s="50" t="s">
        <v>490</v>
      </c>
      <c r="E22" s="479">
        <v>9.0</v>
      </c>
      <c r="F22" s="479">
        <v>0.0</v>
      </c>
      <c r="G22" s="480" t="s">
        <v>19</v>
      </c>
      <c r="H22" s="402"/>
      <c r="I22" s="409" t="s">
        <v>19</v>
      </c>
    </row>
    <row r="23">
      <c r="A23" s="478" t="s">
        <v>74</v>
      </c>
      <c r="B23" s="491">
        <v>15.0</v>
      </c>
      <c r="C23" s="479" t="s">
        <v>330</v>
      </c>
      <c r="D23" s="50" t="s">
        <v>490</v>
      </c>
      <c r="E23" s="479">
        <v>10.0</v>
      </c>
      <c r="F23" s="479">
        <v>3.0</v>
      </c>
      <c r="G23" s="480" t="s">
        <v>19</v>
      </c>
      <c r="H23" s="402"/>
      <c r="I23" s="409" t="s">
        <v>19</v>
      </c>
    </row>
    <row r="24">
      <c r="A24" s="478" t="s">
        <v>74</v>
      </c>
      <c r="B24" s="491">
        <v>17.0</v>
      </c>
      <c r="C24" s="479" t="s">
        <v>519</v>
      </c>
      <c r="D24" s="50" t="s">
        <v>521</v>
      </c>
      <c r="E24" s="479">
        <v>8.0</v>
      </c>
      <c r="F24" s="479">
        <v>4.0</v>
      </c>
      <c r="G24" s="480" t="s">
        <v>19</v>
      </c>
      <c r="H24" s="402"/>
      <c r="I24" s="409" t="s">
        <v>19</v>
      </c>
    </row>
    <row r="25">
      <c r="A25" s="435" t="s">
        <v>74</v>
      </c>
      <c r="B25" s="468">
        <v>22.0</v>
      </c>
      <c r="C25" s="439" t="s">
        <v>381</v>
      </c>
      <c r="D25" s="438" t="s">
        <v>490</v>
      </c>
      <c r="E25" s="439">
        <v>7.0</v>
      </c>
      <c r="F25" s="439">
        <v>3.0</v>
      </c>
      <c r="G25" s="440" t="s">
        <v>19</v>
      </c>
      <c r="H25" s="402"/>
      <c r="I25" s="409" t="s">
        <v>19</v>
      </c>
    </row>
    <row r="26">
      <c r="A26" s="527"/>
      <c r="B26" s="529"/>
      <c r="C26" s="530"/>
      <c r="D26" s="531"/>
      <c r="E26" s="530"/>
      <c r="F26" s="530"/>
      <c r="G26" s="532"/>
      <c r="H26" s="383"/>
      <c r="I26" s="476"/>
    </row>
    <row r="27">
      <c r="A27" s="434" t="s">
        <v>529</v>
      </c>
      <c r="B27" s="13"/>
      <c r="C27" s="13"/>
      <c r="D27" s="13"/>
      <c r="E27" s="13"/>
      <c r="F27" s="13"/>
      <c r="G27" s="14"/>
      <c r="H27" s="383"/>
      <c r="I27" s="476"/>
    </row>
    <row r="28">
      <c r="A28" s="485" t="s">
        <v>106</v>
      </c>
      <c r="B28" s="486">
        <v>12.0</v>
      </c>
      <c r="C28" s="487" t="s">
        <v>532</v>
      </c>
      <c r="D28" s="488" t="s">
        <v>501</v>
      </c>
      <c r="E28" s="487">
        <v>6.0</v>
      </c>
      <c r="F28" s="487">
        <v>3.0</v>
      </c>
      <c r="G28" s="489" t="s">
        <v>19</v>
      </c>
      <c r="H28" s="528"/>
      <c r="I28" s="409" t="s">
        <v>19</v>
      </c>
    </row>
    <row r="29">
      <c r="A29" s="437" t="s">
        <v>106</v>
      </c>
      <c r="B29" s="468">
        <v>15.0</v>
      </c>
      <c r="C29" s="439" t="s">
        <v>507</v>
      </c>
      <c r="D29" s="438" t="s">
        <v>493</v>
      </c>
      <c r="E29" s="439">
        <v>0.0</v>
      </c>
      <c r="F29" s="439">
        <v>11.0</v>
      </c>
      <c r="G29" s="440" t="s">
        <v>26</v>
      </c>
      <c r="H29" s="528"/>
      <c r="I29" s="409" t="s">
        <v>26</v>
      </c>
    </row>
    <row r="30">
      <c r="A30" s="374" t="s">
        <v>312</v>
      </c>
      <c r="B30" s="132"/>
      <c r="C30" s="132"/>
      <c r="D30" s="375" t="s">
        <v>314</v>
      </c>
      <c r="E30" s="377">
        <f t="shared" ref="E30:F30" si="1">SUM(E9:E29)</f>
        <v>126</v>
      </c>
      <c r="F30" s="377">
        <f t="shared" si="1"/>
        <v>81</v>
      </c>
      <c r="G30" s="378"/>
      <c r="H30" s="383"/>
      <c r="I30" s="476"/>
    </row>
    <row r="31">
      <c r="A31" s="534" t="s">
        <v>534</v>
      </c>
      <c r="B31" s="132"/>
      <c r="C31" s="132"/>
      <c r="D31" s="132"/>
      <c r="E31" s="132"/>
      <c r="F31" s="132"/>
      <c r="G31" s="133"/>
      <c r="H31" s="383"/>
      <c r="I31" s="476"/>
    </row>
  </sheetData>
  <mergeCells count="4">
    <mergeCell ref="A5:G6"/>
    <mergeCell ref="A27:G27"/>
    <mergeCell ref="A30:C30"/>
    <mergeCell ref="A31:G31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7.75"/>
    <col customWidth="1" min="4" max="4" width="38.63"/>
    <col customWidth="1" min="5" max="6" width="5.13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COUNTIF(G5:G31,"W")&amp;"-"&amp;COUNTIF(G5:G31,"L")&amp;"-"&amp;COUNTIF(G5:G31,"T")&amp;"-"&amp;COUNTIF(G5:G31,"OTL")</f>
        <v>8-12-1-0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COUNTIF(I5:I31,"W")&amp;"-"&amp;COUNTIF(I5:I31,"L")&amp;"-"&amp;COUNTIF(I5:I31,"T")&amp;"-"&amp;COUNTIF(I5:I31,"OTL")</f>
        <v>7-11-1-0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511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13.0</v>
      </c>
      <c r="C8" s="521" t="s">
        <v>517</v>
      </c>
      <c r="D8" s="520" t="s">
        <v>501</v>
      </c>
      <c r="E8" s="521">
        <v>1.0</v>
      </c>
      <c r="F8" s="521">
        <v>15.0</v>
      </c>
      <c r="G8" s="522" t="s">
        <v>26</v>
      </c>
      <c r="H8" s="402"/>
      <c r="I8" s="16"/>
    </row>
    <row r="9">
      <c r="A9" s="523" t="s">
        <v>263</v>
      </c>
      <c r="B9" s="524">
        <v>22.0</v>
      </c>
      <c r="C9" s="525" t="s">
        <v>330</v>
      </c>
      <c r="D9" s="524" t="s">
        <v>490</v>
      </c>
      <c r="E9" s="525">
        <v>13.0</v>
      </c>
      <c r="F9" s="525">
        <v>2.0</v>
      </c>
      <c r="G9" s="526" t="s">
        <v>19</v>
      </c>
      <c r="H9" s="383"/>
      <c r="I9" s="476"/>
    </row>
    <row r="10">
      <c r="A10" s="478" t="s">
        <v>17</v>
      </c>
      <c r="B10" s="50">
        <v>28.0</v>
      </c>
      <c r="C10" s="479" t="s">
        <v>358</v>
      </c>
      <c r="D10" s="50" t="s">
        <v>490</v>
      </c>
      <c r="E10" s="479">
        <v>7.0</v>
      </c>
      <c r="F10" s="479">
        <v>7.0</v>
      </c>
      <c r="G10" s="480" t="s">
        <v>73</v>
      </c>
      <c r="H10" s="402"/>
      <c r="I10" s="409" t="s">
        <v>73</v>
      </c>
    </row>
    <row r="11">
      <c r="A11" s="405" t="s">
        <v>17</v>
      </c>
      <c r="B11" s="409">
        <v>29.0</v>
      </c>
      <c r="C11" s="408" t="s">
        <v>418</v>
      </c>
      <c r="D11" s="409" t="s">
        <v>490</v>
      </c>
      <c r="E11" s="408">
        <v>6.0</v>
      </c>
      <c r="F11" s="408">
        <v>4.0</v>
      </c>
      <c r="G11" s="411" t="s">
        <v>19</v>
      </c>
      <c r="H11" s="402"/>
      <c r="I11" s="409" t="s">
        <v>19</v>
      </c>
    </row>
    <row r="12">
      <c r="A12" s="405" t="s">
        <v>34</v>
      </c>
      <c r="B12" s="409">
        <v>4.0</v>
      </c>
      <c r="C12" s="408" t="s">
        <v>370</v>
      </c>
      <c r="D12" s="409" t="s">
        <v>490</v>
      </c>
      <c r="E12" s="408">
        <v>7.0</v>
      </c>
      <c r="F12" s="408">
        <v>6.0</v>
      </c>
      <c r="G12" s="411" t="s">
        <v>19</v>
      </c>
      <c r="H12" s="402"/>
      <c r="I12" s="409" t="s">
        <v>19</v>
      </c>
    </row>
    <row r="13">
      <c r="A13" s="405" t="s">
        <v>34</v>
      </c>
      <c r="B13" s="409">
        <v>12.0</v>
      </c>
      <c r="C13" s="408" t="s">
        <v>347</v>
      </c>
      <c r="D13" s="409" t="s">
        <v>348</v>
      </c>
      <c r="E13" s="408">
        <v>2.0</v>
      </c>
      <c r="F13" s="408">
        <v>5.0</v>
      </c>
      <c r="G13" s="411" t="s">
        <v>26</v>
      </c>
      <c r="H13" s="402"/>
      <c r="I13" s="409" t="s">
        <v>26</v>
      </c>
    </row>
    <row r="14">
      <c r="A14" s="405" t="s">
        <v>34</v>
      </c>
      <c r="B14" s="409">
        <v>19.0</v>
      </c>
      <c r="C14" s="408" t="s">
        <v>347</v>
      </c>
      <c r="D14" s="409" t="s">
        <v>348</v>
      </c>
      <c r="E14" s="408">
        <v>3.0</v>
      </c>
      <c r="F14" s="408">
        <v>4.0</v>
      </c>
      <c r="G14" s="411" t="s">
        <v>26</v>
      </c>
      <c r="H14" s="402"/>
      <c r="I14" s="409" t="s">
        <v>26</v>
      </c>
    </row>
    <row r="15">
      <c r="A15" s="478" t="s">
        <v>61</v>
      </c>
      <c r="B15" s="50">
        <v>2.0</v>
      </c>
      <c r="C15" s="479" t="s">
        <v>504</v>
      </c>
      <c r="D15" s="50" t="s">
        <v>490</v>
      </c>
      <c r="E15" s="479">
        <v>8.0</v>
      </c>
      <c r="F15" s="479">
        <v>7.0</v>
      </c>
      <c r="G15" s="480" t="s">
        <v>19</v>
      </c>
      <c r="H15" s="402"/>
      <c r="I15" s="409" t="s">
        <v>19</v>
      </c>
    </row>
    <row r="16">
      <c r="A16" s="405" t="s">
        <v>61</v>
      </c>
      <c r="B16" s="409">
        <v>8.0</v>
      </c>
      <c r="C16" s="408" t="s">
        <v>517</v>
      </c>
      <c r="D16" s="409" t="s">
        <v>501</v>
      </c>
      <c r="E16" s="408">
        <v>0.0</v>
      </c>
      <c r="F16" s="408">
        <v>10.0</v>
      </c>
      <c r="G16" s="411" t="s">
        <v>26</v>
      </c>
      <c r="H16" s="402"/>
      <c r="I16" s="409" t="s">
        <v>26</v>
      </c>
    </row>
    <row r="17">
      <c r="A17" s="478" t="s">
        <v>68</v>
      </c>
      <c r="B17" s="50">
        <v>21.0</v>
      </c>
      <c r="C17" s="479" t="s">
        <v>475</v>
      </c>
      <c r="D17" s="50" t="s">
        <v>493</v>
      </c>
      <c r="E17" s="479">
        <v>5.0</v>
      </c>
      <c r="F17" s="479">
        <v>15.0</v>
      </c>
      <c r="G17" s="480" t="s">
        <v>26</v>
      </c>
      <c r="H17" s="402"/>
      <c r="I17" s="409" t="s">
        <v>26</v>
      </c>
    </row>
    <row r="18">
      <c r="A18" s="478" t="s">
        <v>68</v>
      </c>
      <c r="B18" s="50">
        <v>27.0</v>
      </c>
      <c r="C18" s="479" t="s">
        <v>525</v>
      </c>
      <c r="D18" s="50" t="s">
        <v>490</v>
      </c>
      <c r="E18" s="479">
        <v>2.0</v>
      </c>
      <c r="F18" s="479">
        <v>19.0</v>
      </c>
      <c r="G18" s="480" t="s">
        <v>26</v>
      </c>
      <c r="H18" s="402"/>
      <c r="I18" s="409" t="s">
        <v>26</v>
      </c>
    </row>
    <row r="19">
      <c r="A19" s="478" t="s">
        <v>74</v>
      </c>
      <c r="B19" s="50">
        <v>4.0</v>
      </c>
      <c r="C19" s="479" t="s">
        <v>166</v>
      </c>
      <c r="D19" s="50" t="s">
        <v>448</v>
      </c>
      <c r="E19" s="479">
        <v>6.0</v>
      </c>
      <c r="F19" s="479">
        <v>4.0</v>
      </c>
      <c r="G19" s="480" t="s">
        <v>19</v>
      </c>
      <c r="H19" s="402"/>
      <c r="I19" s="409" t="s">
        <v>19</v>
      </c>
    </row>
    <row r="20">
      <c r="A20" s="478" t="s">
        <v>74</v>
      </c>
      <c r="B20" s="50">
        <v>9.0</v>
      </c>
      <c r="C20" s="479" t="s">
        <v>206</v>
      </c>
      <c r="D20" s="50" t="s">
        <v>526</v>
      </c>
      <c r="E20" s="479">
        <v>4.0</v>
      </c>
      <c r="F20" s="479">
        <v>10.0</v>
      </c>
      <c r="G20" s="480" t="s">
        <v>26</v>
      </c>
      <c r="H20" s="402"/>
      <c r="I20" s="409" t="s">
        <v>26</v>
      </c>
    </row>
    <row r="21">
      <c r="A21" s="478" t="s">
        <v>74</v>
      </c>
      <c r="B21" s="50">
        <v>17.0</v>
      </c>
      <c r="C21" s="479" t="s">
        <v>497</v>
      </c>
      <c r="D21" s="50" t="s">
        <v>490</v>
      </c>
      <c r="E21" s="479">
        <v>8.0</v>
      </c>
      <c r="F21" s="479">
        <v>6.0</v>
      </c>
      <c r="G21" s="480" t="s">
        <v>19</v>
      </c>
      <c r="H21" s="402"/>
      <c r="I21" s="409" t="s">
        <v>19</v>
      </c>
    </row>
    <row r="22">
      <c r="A22" s="478" t="s">
        <v>74</v>
      </c>
      <c r="B22" s="491">
        <v>18.0</v>
      </c>
      <c r="C22" s="479" t="s">
        <v>475</v>
      </c>
      <c r="D22" s="50" t="s">
        <v>493</v>
      </c>
      <c r="E22" s="479">
        <v>1.0</v>
      </c>
      <c r="F22" s="479">
        <v>12.0</v>
      </c>
      <c r="G22" s="480" t="s">
        <v>26</v>
      </c>
      <c r="H22" s="402"/>
      <c r="I22" s="409" t="s">
        <v>26</v>
      </c>
    </row>
    <row r="23">
      <c r="A23" s="478" t="s">
        <v>367</v>
      </c>
      <c r="B23" s="491">
        <v>22.0</v>
      </c>
      <c r="C23" s="479" t="s">
        <v>527</v>
      </c>
      <c r="D23" s="50" t="s">
        <v>490</v>
      </c>
      <c r="E23" s="479">
        <v>1.0</v>
      </c>
      <c r="F23" s="479">
        <v>0.0</v>
      </c>
      <c r="G23" s="480" t="s">
        <v>19</v>
      </c>
      <c r="H23" s="402"/>
      <c r="I23" s="409" t="s">
        <v>19</v>
      </c>
    </row>
    <row r="24">
      <c r="A24" s="478" t="s">
        <v>74</v>
      </c>
      <c r="B24" s="491">
        <v>23.0</v>
      </c>
      <c r="C24" s="479" t="s">
        <v>232</v>
      </c>
      <c r="D24" s="50" t="s">
        <v>448</v>
      </c>
      <c r="E24" s="479">
        <v>7.0</v>
      </c>
      <c r="F24" s="479">
        <v>10.0</v>
      </c>
      <c r="G24" s="480" t="s">
        <v>26</v>
      </c>
      <c r="H24" s="402"/>
      <c r="I24" s="409" t="s">
        <v>26</v>
      </c>
    </row>
    <row r="25">
      <c r="A25" s="405" t="s">
        <v>74</v>
      </c>
      <c r="B25" s="454">
        <v>24.0</v>
      </c>
      <c r="C25" s="408" t="s">
        <v>421</v>
      </c>
      <c r="D25" s="409" t="s">
        <v>448</v>
      </c>
      <c r="E25" s="408">
        <v>9.0</v>
      </c>
      <c r="F25" s="408">
        <v>3.0</v>
      </c>
      <c r="G25" s="411" t="s">
        <v>19</v>
      </c>
      <c r="H25" s="402"/>
      <c r="I25" s="409" t="s">
        <v>19</v>
      </c>
    </row>
    <row r="26">
      <c r="A26" s="405" t="s">
        <v>74</v>
      </c>
      <c r="B26" s="454">
        <v>27.0</v>
      </c>
      <c r="C26" s="408" t="s">
        <v>352</v>
      </c>
      <c r="D26" s="409" t="s">
        <v>490</v>
      </c>
      <c r="E26" s="408">
        <v>0.0</v>
      </c>
      <c r="F26" s="408">
        <v>3.0</v>
      </c>
      <c r="G26" s="411" t="s">
        <v>26</v>
      </c>
      <c r="H26" s="402"/>
      <c r="I26" s="409" t="s">
        <v>26</v>
      </c>
    </row>
    <row r="27">
      <c r="A27" s="435" t="s">
        <v>74</v>
      </c>
      <c r="B27" s="468">
        <v>29.0</v>
      </c>
      <c r="C27" s="439" t="s">
        <v>361</v>
      </c>
      <c r="D27" s="438" t="s">
        <v>490</v>
      </c>
      <c r="E27" s="439">
        <v>4.0</v>
      </c>
      <c r="F27" s="439">
        <v>13.0</v>
      </c>
      <c r="G27" s="440" t="s">
        <v>26</v>
      </c>
      <c r="H27" s="402"/>
      <c r="I27" s="409" t="s">
        <v>26</v>
      </c>
    </row>
    <row r="28">
      <c r="A28" s="527"/>
      <c r="B28" s="529"/>
      <c r="C28" s="530"/>
      <c r="D28" s="531"/>
      <c r="E28" s="530"/>
      <c r="F28" s="530"/>
      <c r="G28" s="532"/>
      <c r="H28" s="383"/>
      <c r="I28" s="476"/>
    </row>
    <row r="29">
      <c r="A29" s="434" t="s">
        <v>531</v>
      </c>
      <c r="B29" s="13"/>
      <c r="C29" s="13"/>
      <c r="D29" s="13"/>
      <c r="E29" s="13"/>
      <c r="F29" s="13"/>
      <c r="G29" s="14"/>
      <c r="H29" s="383"/>
      <c r="I29" s="476"/>
    </row>
    <row r="30">
      <c r="A30" s="533" t="s">
        <v>106</v>
      </c>
      <c r="B30" s="473">
        <v>17.0</v>
      </c>
      <c r="C30" s="314" t="s">
        <v>533</v>
      </c>
      <c r="D30" s="443" t="s">
        <v>506</v>
      </c>
      <c r="E30" s="314">
        <v>7.0</v>
      </c>
      <c r="F30" s="314">
        <v>11.0</v>
      </c>
      <c r="G30" s="444" t="s">
        <v>26</v>
      </c>
      <c r="H30" s="528"/>
      <c r="I30" s="409" t="s">
        <v>26</v>
      </c>
    </row>
    <row r="31">
      <c r="A31" s="374" t="s">
        <v>312</v>
      </c>
      <c r="B31" s="132"/>
      <c r="C31" s="132"/>
      <c r="D31" s="375" t="s">
        <v>314</v>
      </c>
      <c r="E31" s="377">
        <f t="shared" ref="E31:F31" si="1">SUM(E7:E30)</f>
        <v>101</v>
      </c>
      <c r="F31" s="377">
        <f t="shared" si="1"/>
        <v>166</v>
      </c>
      <c r="G31" s="378"/>
      <c r="H31" s="383"/>
      <c r="I31" s="476"/>
    </row>
  </sheetData>
  <mergeCells count="3">
    <mergeCell ref="A5:G6"/>
    <mergeCell ref="A29:G29"/>
    <mergeCell ref="A31:C3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8.38"/>
    <col customWidth="1" min="5" max="5" width="5.25"/>
    <col customWidth="1" min="6" max="6" width="4.88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COUNTIF(G5:G31,"W")&amp;"-"&amp;COUNTIF(G5:G31,"L")&amp;"-"&amp;COUNTIF(G5:G31,"T")&amp;"-"&amp;COUNTIF(G5:G31,"OTL")</f>
        <v>9-10-2-0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COUNTIF(I5:I31,"W")&amp;"-"&amp;COUNTIF(I5:I31,"L")&amp;"-"&amp;COUNTIF(I5:I31,"T")&amp;"-"&amp;COUNTIF(I5:I31,"OTL")</f>
        <v>9-8-2-0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524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16.0</v>
      </c>
      <c r="C8" s="521" t="s">
        <v>530</v>
      </c>
      <c r="D8" s="520" t="s">
        <v>490</v>
      </c>
      <c r="E8" s="521">
        <v>4.0</v>
      </c>
      <c r="F8" s="521">
        <v>7.0</v>
      </c>
      <c r="G8" s="522" t="s">
        <v>26</v>
      </c>
      <c r="H8" s="402"/>
      <c r="I8" s="16"/>
    </row>
    <row r="9">
      <c r="A9" s="523" t="s">
        <v>263</v>
      </c>
      <c r="B9" s="524">
        <v>23.0</v>
      </c>
      <c r="C9" s="525" t="s">
        <v>358</v>
      </c>
      <c r="D9" s="524" t="s">
        <v>490</v>
      </c>
      <c r="E9" s="525">
        <v>4.0</v>
      </c>
      <c r="F9" s="525">
        <v>8.0</v>
      </c>
      <c r="G9" s="526" t="s">
        <v>26</v>
      </c>
      <c r="H9" s="383"/>
      <c r="I9" s="476"/>
    </row>
    <row r="10">
      <c r="A10" s="478" t="s">
        <v>17</v>
      </c>
      <c r="B10" s="50">
        <v>29.0</v>
      </c>
      <c r="C10" s="479" t="s">
        <v>504</v>
      </c>
      <c r="D10" s="50" t="s">
        <v>490</v>
      </c>
      <c r="E10" s="479">
        <v>7.0</v>
      </c>
      <c r="F10" s="479">
        <v>6.0</v>
      </c>
      <c r="G10" s="480" t="s">
        <v>19</v>
      </c>
      <c r="H10" s="402"/>
      <c r="I10" s="409" t="s">
        <v>19</v>
      </c>
    </row>
    <row r="11">
      <c r="A11" s="405" t="s">
        <v>34</v>
      </c>
      <c r="B11" s="409">
        <v>3.0</v>
      </c>
      <c r="C11" s="408" t="s">
        <v>330</v>
      </c>
      <c r="D11" s="409" t="s">
        <v>490</v>
      </c>
      <c r="E11" s="408">
        <v>10.0</v>
      </c>
      <c r="F11" s="408">
        <v>2.0</v>
      </c>
      <c r="G11" s="411" t="s">
        <v>19</v>
      </c>
      <c r="H11" s="402"/>
      <c r="I11" s="409" t="s">
        <v>19</v>
      </c>
    </row>
    <row r="12">
      <c r="A12" s="405" t="s">
        <v>34</v>
      </c>
      <c r="B12" s="409">
        <v>9.0</v>
      </c>
      <c r="C12" s="408" t="s">
        <v>475</v>
      </c>
      <c r="D12" s="409" t="s">
        <v>448</v>
      </c>
      <c r="E12" s="408">
        <v>1.0</v>
      </c>
      <c r="F12" s="408">
        <v>10.0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12.0</v>
      </c>
      <c r="C13" s="408" t="s">
        <v>497</v>
      </c>
      <c r="D13" s="409" t="s">
        <v>490</v>
      </c>
      <c r="E13" s="408">
        <v>8.0</v>
      </c>
      <c r="F13" s="408">
        <v>12.0</v>
      </c>
      <c r="G13" s="411" t="s">
        <v>26</v>
      </c>
      <c r="H13" s="402"/>
      <c r="I13" s="409" t="s">
        <v>26</v>
      </c>
    </row>
    <row r="14">
      <c r="A14" s="405" t="s">
        <v>34</v>
      </c>
      <c r="B14" s="409">
        <v>20.0</v>
      </c>
      <c r="C14" s="408" t="s">
        <v>347</v>
      </c>
      <c r="D14" s="409" t="s">
        <v>448</v>
      </c>
      <c r="E14" s="408">
        <v>6.0</v>
      </c>
      <c r="F14" s="408">
        <v>6.0</v>
      </c>
      <c r="G14" s="411" t="s">
        <v>73</v>
      </c>
      <c r="H14" s="402"/>
      <c r="I14" s="409" t="s">
        <v>73</v>
      </c>
    </row>
    <row r="15">
      <c r="A15" s="478" t="s">
        <v>61</v>
      </c>
      <c r="B15" s="50">
        <v>3.0</v>
      </c>
      <c r="C15" s="479" t="s">
        <v>213</v>
      </c>
      <c r="D15" s="50" t="s">
        <v>448</v>
      </c>
      <c r="E15" s="479">
        <v>7.0</v>
      </c>
      <c r="F15" s="479">
        <v>4.0</v>
      </c>
      <c r="G15" s="480" t="s">
        <v>19</v>
      </c>
      <c r="H15" s="402"/>
      <c r="I15" s="409" t="s">
        <v>19</v>
      </c>
    </row>
    <row r="16">
      <c r="A16" s="405" t="s">
        <v>61</v>
      </c>
      <c r="B16" s="409">
        <v>12.0</v>
      </c>
      <c r="C16" s="408" t="s">
        <v>519</v>
      </c>
      <c r="D16" s="409" t="s">
        <v>448</v>
      </c>
      <c r="E16" s="408">
        <v>9.0</v>
      </c>
      <c r="F16" s="408">
        <v>10.0</v>
      </c>
      <c r="G16" s="411" t="s">
        <v>26</v>
      </c>
      <c r="H16" s="402"/>
      <c r="I16" s="409" t="s">
        <v>26</v>
      </c>
    </row>
    <row r="17">
      <c r="A17" s="478" t="s">
        <v>68</v>
      </c>
      <c r="B17" s="50">
        <v>21.0</v>
      </c>
      <c r="C17" s="479" t="s">
        <v>522</v>
      </c>
      <c r="D17" s="50" t="s">
        <v>490</v>
      </c>
      <c r="E17" s="479">
        <v>13.0</v>
      </c>
      <c r="F17" s="479">
        <v>1.0</v>
      </c>
      <c r="G17" s="480" t="s">
        <v>19</v>
      </c>
      <c r="H17" s="402"/>
      <c r="I17" s="409" t="s">
        <v>19</v>
      </c>
    </row>
    <row r="18">
      <c r="A18" s="478" t="s">
        <v>68</v>
      </c>
      <c r="B18" s="50">
        <v>28.0</v>
      </c>
      <c r="C18" s="479" t="s">
        <v>527</v>
      </c>
      <c r="D18" s="50" t="s">
        <v>490</v>
      </c>
      <c r="E18" s="479">
        <v>3.0</v>
      </c>
      <c r="F18" s="479">
        <v>3.0</v>
      </c>
      <c r="G18" s="480" t="s">
        <v>73</v>
      </c>
      <c r="H18" s="402"/>
      <c r="I18" s="409" t="s">
        <v>73</v>
      </c>
    </row>
    <row r="19">
      <c r="A19" s="478" t="s">
        <v>74</v>
      </c>
      <c r="B19" s="50">
        <v>5.0</v>
      </c>
      <c r="C19" s="479" t="s">
        <v>292</v>
      </c>
      <c r="D19" s="50" t="s">
        <v>448</v>
      </c>
      <c r="E19" s="479">
        <v>7.0</v>
      </c>
      <c r="F19" s="479">
        <v>2.0</v>
      </c>
      <c r="G19" s="480" t="s">
        <v>19</v>
      </c>
      <c r="H19" s="402"/>
      <c r="I19" s="409" t="s">
        <v>19</v>
      </c>
    </row>
    <row r="20">
      <c r="A20" s="478" t="s">
        <v>74</v>
      </c>
      <c r="B20" s="50">
        <v>8.0</v>
      </c>
      <c r="C20" s="479" t="s">
        <v>356</v>
      </c>
      <c r="D20" s="50" t="s">
        <v>448</v>
      </c>
      <c r="E20" s="479">
        <v>8.0</v>
      </c>
      <c r="F20" s="479">
        <v>4.0</v>
      </c>
      <c r="G20" s="480" t="s">
        <v>19</v>
      </c>
      <c r="H20" s="402"/>
      <c r="I20" s="409" t="s">
        <v>19</v>
      </c>
    </row>
    <row r="21">
      <c r="A21" s="478" t="s">
        <v>74</v>
      </c>
      <c r="B21" s="50">
        <v>11.0</v>
      </c>
      <c r="C21" s="479" t="s">
        <v>458</v>
      </c>
      <c r="D21" s="50" t="s">
        <v>448</v>
      </c>
      <c r="E21" s="479">
        <v>5.0</v>
      </c>
      <c r="F21" s="479">
        <v>4.0</v>
      </c>
      <c r="G21" s="480" t="s">
        <v>19</v>
      </c>
      <c r="H21" s="402"/>
      <c r="I21" s="409" t="s">
        <v>19</v>
      </c>
    </row>
    <row r="22">
      <c r="A22" s="478" t="s">
        <v>74</v>
      </c>
      <c r="B22" s="491">
        <v>18.0</v>
      </c>
      <c r="C22" s="479" t="s">
        <v>331</v>
      </c>
      <c r="D22" s="50" t="s">
        <v>490</v>
      </c>
      <c r="E22" s="479">
        <v>6.0</v>
      </c>
      <c r="F22" s="479">
        <v>2.0</v>
      </c>
      <c r="G22" s="480" t="s">
        <v>19</v>
      </c>
      <c r="H22" s="402"/>
      <c r="I22" s="409" t="s">
        <v>19</v>
      </c>
    </row>
    <row r="23">
      <c r="A23" s="478" t="s">
        <v>74</v>
      </c>
      <c r="B23" s="491">
        <v>25.0</v>
      </c>
      <c r="C23" s="479" t="s">
        <v>454</v>
      </c>
      <c r="D23" s="50" t="s">
        <v>490</v>
      </c>
      <c r="E23" s="479">
        <v>10.0</v>
      </c>
      <c r="F23" s="479">
        <v>8.0</v>
      </c>
      <c r="G23" s="480" t="s">
        <v>19</v>
      </c>
      <c r="H23" s="402"/>
      <c r="I23" s="409" t="s">
        <v>19</v>
      </c>
    </row>
    <row r="24">
      <c r="A24" s="478" t="s">
        <v>74</v>
      </c>
      <c r="B24" s="491">
        <v>28.0</v>
      </c>
      <c r="C24" s="479" t="s">
        <v>206</v>
      </c>
      <c r="D24" s="50" t="s">
        <v>448</v>
      </c>
      <c r="E24" s="479">
        <v>5.0</v>
      </c>
      <c r="F24" s="479">
        <v>8.0</v>
      </c>
      <c r="G24" s="480" t="s">
        <v>26</v>
      </c>
      <c r="H24" s="402"/>
      <c r="I24" s="409" t="s">
        <v>26</v>
      </c>
    </row>
    <row r="25">
      <c r="A25" s="405" t="s">
        <v>106</v>
      </c>
      <c r="B25" s="454">
        <v>2.0</v>
      </c>
      <c r="C25" s="408" t="s">
        <v>361</v>
      </c>
      <c r="D25" s="409" t="s">
        <v>490</v>
      </c>
      <c r="E25" s="408">
        <v>5.0</v>
      </c>
      <c r="F25" s="408">
        <v>15.0</v>
      </c>
      <c r="G25" s="411" t="s">
        <v>26</v>
      </c>
      <c r="H25" s="402"/>
      <c r="I25" s="409" t="s">
        <v>26</v>
      </c>
    </row>
    <row r="26">
      <c r="A26" s="405" t="s">
        <v>106</v>
      </c>
      <c r="B26" s="454">
        <v>4.0</v>
      </c>
      <c r="C26" s="408" t="s">
        <v>358</v>
      </c>
      <c r="D26" s="409" t="s">
        <v>490</v>
      </c>
      <c r="E26" s="408">
        <v>0.0</v>
      </c>
      <c r="F26" s="408">
        <v>9.0</v>
      </c>
      <c r="G26" s="411" t="s">
        <v>26</v>
      </c>
      <c r="H26" s="402"/>
      <c r="I26" s="409" t="s">
        <v>26</v>
      </c>
    </row>
    <row r="27">
      <c r="A27" s="435" t="s">
        <v>106</v>
      </c>
      <c r="B27" s="468">
        <v>7.0</v>
      </c>
      <c r="C27" s="439" t="s">
        <v>166</v>
      </c>
      <c r="D27" s="438" t="s">
        <v>448</v>
      </c>
      <c r="E27" s="439">
        <v>5.0</v>
      </c>
      <c r="F27" s="439">
        <v>8.0</v>
      </c>
      <c r="G27" s="440" t="s">
        <v>26</v>
      </c>
      <c r="H27" s="402"/>
      <c r="I27" s="409" t="s">
        <v>26</v>
      </c>
    </row>
    <row r="28">
      <c r="A28" s="527"/>
      <c r="B28" s="529"/>
      <c r="C28" s="530"/>
      <c r="D28" s="531"/>
      <c r="E28" s="530"/>
      <c r="F28" s="530"/>
      <c r="G28" s="532"/>
      <c r="H28" s="383"/>
      <c r="I28" s="476"/>
    </row>
    <row r="29">
      <c r="A29" s="434" t="s">
        <v>535</v>
      </c>
      <c r="B29" s="13"/>
      <c r="C29" s="13"/>
      <c r="D29" s="13"/>
      <c r="E29" s="13"/>
      <c r="F29" s="13"/>
      <c r="G29" s="14"/>
      <c r="H29" s="383"/>
      <c r="I29" s="476"/>
    </row>
    <row r="30">
      <c r="A30" s="533" t="s">
        <v>106</v>
      </c>
      <c r="B30" s="473">
        <v>11.0</v>
      </c>
      <c r="C30" s="314" t="s">
        <v>249</v>
      </c>
      <c r="D30" s="443" t="s">
        <v>506</v>
      </c>
      <c r="E30" s="314">
        <v>6.0</v>
      </c>
      <c r="F30" s="314">
        <v>14.0</v>
      </c>
      <c r="G30" s="444" t="s">
        <v>26</v>
      </c>
      <c r="H30" s="528"/>
      <c r="I30" s="409" t="s">
        <v>26</v>
      </c>
    </row>
    <row r="31">
      <c r="A31" s="374" t="s">
        <v>419</v>
      </c>
      <c r="B31" s="132"/>
      <c r="C31" s="132"/>
      <c r="D31" s="375" t="s">
        <v>314</v>
      </c>
      <c r="E31" s="377">
        <f t="shared" ref="E31:F31" si="1">SUM(E7:E30)</f>
        <v>129</v>
      </c>
      <c r="F31" s="377">
        <f t="shared" si="1"/>
        <v>143</v>
      </c>
      <c r="G31" s="378"/>
      <c r="H31" s="383"/>
      <c r="I31" s="476"/>
    </row>
  </sheetData>
  <mergeCells count="3">
    <mergeCell ref="A5:G6"/>
    <mergeCell ref="A29:G29"/>
    <mergeCell ref="A31:C31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8.5"/>
    <col customWidth="1" min="5" max="5" width="5.25"/>
    <col customWidth="1" min="6" max="6" width="4.75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COUNTIF(G5:G31,"W")&amp;"-"&amp;COUNTIF(G5:G31,"L")&amp;"-"&amp;COUNTIF(G5:G31,"T")&amp;"-"&amp;COUNTIF(G5:G31,"OTL")</f>
        <v>10-9-2-0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COUNTIF(I5:I31,"W")&amp;"-"&amp;COUNTIF(I5:I31,"L")&amp;"-"&amp;COUNTIF(I5:I31,"T")&amp;"-"&amp;COUNTIF(I5:I31,"OTL")</f>
        <v>9-9-1-0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538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17.0</v>
      </c>
      <c r="C8" s="521" t="s">
        <v>358</v>
      </c>
      <c r="D8" s="520" t="s">
        <v>490</v>
      </c>
      <c r="E8" s="521">
        <v>5.0</v>
      </c>
      <c r="F8" s="521">
        <v>5.0</v>
      </c>
      <c r="G8" s="522" t="s">
        <v>73</v>
      </c>
      <c r="H8" s="402"/>
      <c r="I8" s="16"/>
    </row>
    <row r="9">
      <c r="A9" s="523" t="s">
        <v>263</v>
      </c>
      <c r="B9" s="524">
        <v>23.0</v>
      </c>
      <c r="C9" s="525" t="s">
        <v>381</v>
      </c>
      <c r="D9" s="524" t="s">
        <v>490</v>
      </c>
      <c r="E9" s="525">
        <v>12.0</v>
      </c>
      <c r="F9" s="525">
        <v>4.0</v>
      </c>
      <c r="G9" s="526" t="s">
        <v>19</v>
      </c>
      <c r="H9" s="383"/>
      <c r="I9" s="476"/>
    </row>
    <row r="10">
      <c r="A10" s="478" t="s">
        <v>17</v>
      </c>
      <c r="B10" s="50">
        <v>30.0</v>
      </c>
      <c r="C10" s="479" t="s">
        <v>331</v>
      </c>
      <c r="D10" s="50" t="s">
        <v>490</v>
      </c>
      <c r="E10" s="479">
        <v>8.0</v>
      </c>
      <c r="F10" s="479">
        <v>7.0</v>
      </c>
      <c r="G10" s="480" t="s">
        <v>19</v>
      </c>
      <c r="H10" s="402"/>
      <c r="I10" s="409" t="s">
        <v>19</v>
      </c>
    </row>
    <row r="11">
      <c r="A11" s="405" t="s">
        <v>34</v>
      </c>
      <c r="B11" s="409">
        <v>4.0</v>
      </c>
      <c r="C11" s="408" t="s">
        <v>525</v>
      </c>
      <c r="D11" s="409" t="s">
        <v>490</v>
      </c>
      <c r="E11" s="408">
        <v>0.0</v>
      </c>
      <c r="F11" s="408">
        <v>5.0</v>
      </c>
      <c r="G11" s="411" t="s">
        <v>26</v>
      </c>
      <c r="H11" s="402"/>
      <c r="I11" s="409" t="s">
        <v>26</v>
      </c>
    </row>
    <row r="12">
      <c r="A12" s="405" t="s">
        <v>434</v>
      </c>
      <c r="B12" s="409">
        <v>6.0</v>
      </c>
      <c r="C12" s="408" t="s">
        <v>319</v>
      </c>
      <c r="D12" s="409" t="s">
        <v>448</v>
      </c>
      <c r="E12" s="408">
        <v>4.0</v>
      </c>
      <c r="F12" s="408">
        <v>8.0</v>
      </c>
      <c r="G12" s="411" t="s">
        <v>19</v>
      </c>
      <c r="H12" s="402"/>
      <c r="I12" s="409" t="s">
        <v>19</v>
      </c>
    </row>
    <row r="13">
      <c r="A13" s="405" t="s">
        <v>34</v>
      </c>
      <c r="B13" s="409">
        <v>13.0</v>
      </c>
      <c r="C13" s="408" t="s">
        <v>352</v>
      </c>
      <c r="D13" s="409" t="s">
        <v>490</v>
      </c>
      <c r="E13" s="408">
        <v>0.0</v>
      </c>
      <c r="F13" s="408">
        <v>10.0</v>
      </c>
      <c r="G13" s="411" t="s">
        <v>26</v>
      </c>
      <c r="H13" s="402"/>
      <c r="I13" s="409" t="s">
        <v>26</v>
      </c>
    </row>
    <row r="14">
      <c r="A14" s="405" t="s">
        <v>34</v>
      </c>
      <c r="B14" s="409">
        <v>20.0</v>
      </c>
      <c r="C14" s="408" t="s">
        <v>544</v>
      </c>
      <c r="D14" s="409" t="s">
        <v>448</v>
      </c>
      <c r="E14" s="408">
        <v>1.0</v>
      </c>
      <c r="F14" s="408">
        <v>11.0</v>
      </c>
      <c r="G14" s="411" t="s">
        <v>26</v>
      </c>
      <c r="H14" s="402"/>
      <c r="I14" s="409" t="s">
        <v>26</v>
      </c>
    </row>
    <row r="15">
      <c r="A15" s="478" t="s">
        <v>61</v>
      </c>
      <c r="B15" s="50">
        <v>4.0</v>
      </c>
      <c r="C15" s="381" t="s">
        <v>487</v>
      </c>
      <c r="D15" s="50" t="s">
        <v>490</v>
      </c>
      <c r="E15" s="479">
        <v>12.0</v>
      </c>
      <c r="F15" s="479">
        <v>2.0</v>
      </c>
      <c r="G15" s="480" t="s">
        <v>19</v>
      </c>
      <c r="H15" s="402"/>
      <c r="I15" s="409" t="s">
        <v>19</v>
      </c>
    </row>
    <row r="16">
      <c r="A16" s="405" t="s">
        <v>61</v>
      </c>
      <c r="B16" s="409">
        <v>11.0</v>
      </c>
      <c r="C16" s="408" t="s">
        <v>515</v>
      </c>
      <c r="D16" s="409" t="s">
        <v>448</v>
      </c>
      <c r="E16" s="408">
        <v>3.0</v>
      </c>
      <c r="F16" s="408">
        <v>2.0</v>
      </c>
      <c r="G16" s="411" t="s">
        <v>19</v>
      </c>
      <c r="H16" s="402"/>
      <c r="I16" s="409" t="s">
        <v>19</v>
      </c>
    </row>
    <row r="17">
      <c r="A17" s="478" t="s">
        <v>61</v>
      </c>
      <c r="B17" s="50">
        <v>12.0</v>
      </c>
      <c r="C17" s="479" t="s">
        <v>499</v>
      </c>
      <c r="D17" s="50" t="s">
        <v>448</v>
      </c>
      <c r="E17" s="479">
        <v>8.0</v>
      </c>
      <c r="F17" s="479">
        <v>4.0</v>
      </c>
      <c r="G17" s="480" t="s">
        <v>19</v>
      </c>
      <c r="H17" s="402"/>
      <c r="I17" s="409" t="s">
        <v>19</v>
      </c>
    </row>
    <row r="18">
      <c r="A18" s="478" t="s">
        <v>68</v>
      </c>
      <c r="B18" s="50">
        <v>22.0</v>
      </c>
      <c r="C18" s="479" t="s">
        <v>213</v>
      </c>
      <c r="D18" s="50" t="s">
        <v>448</v>
      </c>
      <c r="E18" s="479">
        <v>5.0</v>
      </c>
      <c r="F18" s="479">
        <v>8.0</v>
      </c>
      <c r="G18" s="480" t="s">
        <v>26</v>
      </c>
      <c r="H18" s="402"/>
      <c r="I18" s="409" t="s">
        <v>26</v>
      </c>
    </row>
    <row r="19">
      <c r="A19" s="478" t="s">
        <v>68</v>
      </c>
      <c r="B19" s="50">
        <v>29.0</v>
      </c>
      <c r="C19" s="479" t="s">
        <v>166</v>
      </c>
      <c r="D19" s="50" t="s">
        <v>448</v>
      </c>
      <c r="E19" s="479">
        <v>7.0</v>
      </c>
      <c r="F19" s="479">
        <v>8.0</v>
      </c>
      <c r="G19" s="480" t="s">
        <v>26</v>
      </c>
      <c r="H19" s="402"/>
      <c r="I19" s="409" t="s">
        <v>26</v>
      </c>
    </row>
    <row r="20">
      <c r="A20" s="478" t="s">
        <v>74</v>
      </c>
      <c r="B20" s="50">
        <v>5.0</v>
      </c>
      <c r="C20" s="479" t="s">
        <v>338</v>
      </c>
      <c r="D20" s="50" t="s">
        <v>490</v>
      </c>
      <c r="E20" s="479">
        <v>12.0</v>
      </c>
      <c r="F20" s="479">
        <v>1.0</v>
      </c>
      <c r="G20" s="480" t="s">
        <v>19</v>
      </c>
      <c r="H20" s="402"/>
      <c r="I20" s="409" t="s">
        <v>19</v>
      </c>
    </row>
    <row r="21">
      <c r="A21" s="478" t="s">
        <v>74</v>
      </c>
      <c r="B21" s="50">
        <v>12.0</v>
      </c>
      <c r="C21" s="479" t="s">
        <v>381</v>
      </c>
      <c r="D21" s="50" t="s">
        <v>490</v>
      </c>
      <c r="E21" s="479">
        <v>7.0</v>
      </c>
      <c r="F21" s="479">
        <v>8.0</v>
      </c>
      <c r="G21" s="480" t="s">
        <v>26</v>
      </c>
      <c r="H21" s="402"/>
      <c r="I21" s="409" t="s">
        <v>26</v>
      </c>
    </row>
    <row r="22">
      <c r="A22" s="478" t="s">
        <v>74</v>
      </c>
      <c r="B22" s="491">
        <v>16.0</v>
      </c>
      <c r="C22" s="479" t="s">
        <v>206</v>
      </c>
      <c r="D22" s="50" t="s">
        <v>448</v>
      </c>
      <c r="E22" s="479">
        <v>5.0</v>
      </c>
      <c r="F22" s="479">
        <v>11.0</v>
      </c>
      <c r="G22" s="480" t="s">
        <v>26</v>
      </c>
      <c r="H22" s="402"/>
      <c r="I22" s="409" t="s">
        <v>26</v>
      </c>
    </row>
    <row r="23">
      <c r="A23" s="478" t="s">
        <v>74</v>
      </c>
      <c r="B23" s="491">
        <v>20.0</v>
      </c>
      <c r="C23" s="479" t="s">
        <v>421</v>
      </c>
      <c r="D23" s="50" t="s">
        <v>448</v>
      </c>
      <c r="E23" s="479">
        <v>0.0</v>
      </c>
      <c r="F23" s="479">
        <v>10.0</v>
      </c>
      <c r="G23" s="480" t="s">
        <v>26</v>
      </c>
      <c r="H23" s="402"/>
      <c r="I23" s="409" t="s">
        <v>26</v>
      </c>
    </row>
    <row r="24">
      <c r="A24" s="478" t="s">
        <v>74</v>
      </c>
      <c r="B24" s="491">
        <v>26.0</v>
      </c>
      <c r="C24" s="479" t="s">
        <v>522</v>
      </c>
      <c r="D24" s="50" t="s">
        <v>490</v>
      </c>
      <c r="E24" s="479">
        <v>12.0</v>
      </c>
      <c r="F24" s="479">
        <v>5.0</v>
      </c>
      <c r="G24" s="480" t="s">
        <v>19</v>
      </c>
      <c r="H24" s="402"/>
      <c r="I24" s="409" t="s">
        <v>19</v>
      </c>
    </row>
    <row r="25">
      <c r="A25" s="405" t="s">
        <v>74</v>
      </c>
      <c r="B25" s="454">
        <v>27.0</v>
      </c>
      <c r="C25" s="408" t="s">
        <v>292</v>
      </c>
      <c r="D25" s="409" t="s">
        <v>448</v>
      </c>
      <c r="E25" s="408">
        <v>11.0</v>
      </c>
      <c r="F25" s="408">
        <v>6.0</v>
      </c>
      <c r="G25" s="411" t="s">
        <v>19</v>
      </c>
      <c r="H25" s="402"/>
      <c r="I25" s="409" t="s">
        <v>19</v>
      </c>
    </row>
    <row r="26">
      <c r="A26" s="405" t="s">
        <v>106</v>
      </c>
      <c r="B26" s="454">
        <v>3.0</v>
      </c>
      <c r="C26" s="408" t="s">
        <v>370</v>
      </c>
      <c r="D26" s="409" t="s">
        <v>490</v>
      </c>
      <c r="E26" s="408">
        <v>8.0</v>
      </c>
      <c r="F26" s="408">
        <v>3.0</v>
      </c>
      <c r="G26" s="411" t="s">
        <v>19</v>
      </c>
      <c r="H26" s="402"/>
      <c r="I26" s="409" t="s">
        <v>19</v>
      </c>
    </row>
    <row r="27">
      <c r="A27" s="435" t="s">
        <v>106</v>
      </c>
      <c r="B27" s="468">
        <v>5.0</v>
      </c>
      <c r="C27" s="439" t="s">
        <v>504</v>
      </c>
      <c r="D27" s="438" t="s">
        <v>490</v>
      </c>
      <c r="E27" s="439">
        <v>5.0</v>
      </c>
      <c r="F27" s="439">
        <v>5.0</v>
      </c>
      <c r="G27" s="440" t="s">
        <v>73</v>
      </c>
      <c r="H27" s="402"/>
      <c r="I27" s="409" t="s">
        <v>73</v>
      </c>
    </row>
    <row r="28">
      <c r="A28" s="527"/>
      <c r="B28" s="529"/>
      <c r="C28" s="530"/>
      <c r="D28" s="531"/>
      <c r="E28" s="530"/>
      <c r="F28" s="530"/>
      <c r="G28" s="532"/>
      <c r="H28" s="383"/>
      <c r="I28" s="476"/>
    </row>
    <row r="29">
      <c r="A29" s="434" t="s">
        <v>547</v>
      </c>
      <c r="B29" s="13"/>
      <c r="C29" s="13"/>
      <c r="D29" s="13"/>
      <c r="E29" s="13"/>
      <c r="F29" s="13"/>
      <c r="G29" s="14"/>
      <c r="H29" s="383"/>
      <c r="I29" s="476"/>
    </row>
    <row r="30">
      <c r="A30" s="533" t="s">
        <v>106</v>
      </c>
      <c r="B30" s="473">
        <v>12.0</v>
      </c>
      <c r="C30" s="314" t="s">
        <v>533</v>
      </c>
      <c r="D30" s="443" t="s">
        <v>506</v>
      </c>
      <c r="E30" s="314">
        <v>5.0</v>
      </c>
      <c r="F30" s="314">
        <v>12.0</v>
      </c>
      <c r="G30" s="444" t="s">
        <v>26</v>
      </c>
      <c r="H30" s="528"/>
      <c r="I30" s="409" t="s">
        <v>26</v>
      </c>
    </row>
    <row r="31">
      <c r="A31" s="374" t="s">
        <v>312</v>
      </c>
      <c r="B31" s="132"/>
      <c r="C31" s="132"/>
      <c r="D31" s="375" t="s">
        <v>314</v>
      </c>
      <c r="E31" s="377">
        <f t="shared" ref="E31:F31" si="1">SUM(E7:E30)</f>
        <v>130</v>
      </c>
      <c r="F31" s="377">
        <f t="shared" si="1"/>
        <v>135</v>
      </c>
      <c r="G31" s="378"/>
      <c r="H31" s="383"/>
      <c r="I31" s="476"/>
    </row>
  </sheetData>
  <mergeCells count="3">
    <mergeCell ref="A5:G6"/>
    <mergeCell ref="A29:G29"/>
    <mergeCell ref="A31:C31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8.25"/>
    <col customWidth="1" min="5" max="5" width="5.5"/>
    <col customWidth="1" min="6" max="6" width="5.0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COUNTIF(G5:G33,"W")&amp;"-"&amp;COUNTIF(G5:G33,"L")&amp;"-"&amp;COUNTIF(G5:G33,"T")&amp;"-"&amp;COUNTIF(G5:G33,"OTL")</f>
        <v>7-14-0-0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COUNTIF(I5:I33,"W")&amp;"-"&amp;COUNTIF(I5:I33,"L")&amp;"-"&amp;COUNTIF(I5:I33,"T")&amp;"-"&amp;COUNTIF(I5:I33,"OTL")</f>
        <v>7-12-0-0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536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18.0</v>
      </c>
      <c r="C8" s="521" t="s">
        <v>331</v>
      </c>
      <c r="D8" s="520" t="s">
        <v>537</v>
      </c>
      <c r="E8" s="521">
        <v>3.0</v>
      </c>
      <c r="F8" s="521">
        <v>6.0</v>
      </c>
      <c r="G8" s="522" t="s">
        <v>26</v>
      </c>
      <c r="H8" s="402"/>
      <c r="I8" s="16"/>
    </row>
    <row r="9">
      <c r="A9" s="523" t="s">
        <v>263</v>
      </c>
      <c r="B9" s="524">
        <v>24.0</v>
      </c>
      <c r="C9" s="525" t="s">
        <v>539</v>
      </c>
      <c r="D9" s="524" t="s">
        <v>537</v>
      </c>
      <c r="E9" s="525">
        <v>2.0</v>
      </c>
      <c r="F9" s="525">
        <v>9.0</v>
      </c>
      <c r="G9" s="526" t="s">
        <v>26</v>
      </c>
      <c r="H9" s="383"/>
      <c r="I9" s="476"/>
    </row>
    <row r="10">
      <c r="A10" s="478" t="s">
        <v>17</v>
      </c>
      <c r="B10" s="50">
        <v>31.0</v>
      </c>
      <c r="C10" s="479" t="s">
        <v>370</v>
      </c>
      <c r="D10" s="50" t="s">
        <v>537</v>
      </c>
      <c r="E10" s="479">
        <v>4.0</v>
      </c>
      <c r="F10" s="479">
        <v>8.0</v>
      </c>
      <c r="G10" s="480" t="s">
        <v>26</v>
      </c>
      <c r="H10" s="402"/>
      <c r="I10" s="409" t="s">
        <v>26</v>
      </c>
    </row>
    <row r="11">
      <c r="A11" s="405" t="s">
        <v>34</v>
      </c>
      <c r="B11" s="409">
        <v>5.0</v>
      </c>
      <c r="C11" s="408" t="s">
        <v>352</v>
      </c>
      <c r="D11" s="409" t="s">
        <v>537</v>
      </c>
      <c r="E11" s="408">
        <v>3.0</v>
      </c>
      <c r="F11" s="408">
        <v>6.0</v>
      </c>
      <c r="G11" s="411" t="s">
        <v>26</v>
      </c>
      <c r="H11" s="402"/>
      <c r="I11" s="409" t="s">
        <v>26</v>
      </c>
    </row>
    <row r="12">
      <c r="A12" s="405" t="s">
        <v>34</v>
      </c>
      <c r="B12" s="409">
        <v>14.0</v>
      </c>
      <c r="C12" s="408" t="s">
        <v>504</v>
      </c>
      <c r="D12" s="409" t="s">
        <v>537</v>
      </c>
      <c r="E12" s="408">
        <v>4.0</v>
      </c>
      <c r="F12" s="408">
        <v>10.0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18.0</v>
      </c>
      <c r="C13" s="408" t="s">
        <v>475</v>
      </c>
      <c r="D13" s="409" t="s">
        <v>448</v>
      </c>
      <c r="E13" s="408">
        <v>7.0</v>
      </c>
      <c r="F13" s="408">
        <v>4.0</v>
      </c>
      <c r="G13" s="411" t="s">
        <v>19</v>
      </c>
      <c r="H13" s="402"/>
      <c r="I13" s="409" t="s">
        <v>19</v>
      </c>
    </row>
    <row r="14">
      <c r="A14" s="405" t="s">
        <v>34</v>
      </c>
      <c r="B14" s="409">
        <v>21.0</v>
      </c>
      <c r="C14" s="408" t="s">
        <v>319</v>
      </c>
      <c r="D14" s="409" t="s">
        <v>448</v>
      </c>
      <c r="E14" s="408">
        <v>3.0</v>
      </c>
      <c r="F14" s="408">
        <v>11.0</v>
      </c>
      <c r="G14" s="411" t="s">
        <v>26</v>
      </c>
      <c r="H14" s="402"/>
      <c r="I14" s="409" t="s">
        <v>26</v>
      </c>
    </row>
    <row r="15">
      <c r="A15" s="478" t="s">
        <v>34</v>
      </c>
      <c r="B15" s="50">
        <v>22.0</v>
      </c>
      <c r="C15" s="479" t="s">
        <v>248</v>
      </c>
      <c r="D15" s="50" t="s">
        <v>448</v>
      </c>
      <c r="E15" s="479">
        <v>17.0</v>
      </c>
      <c r="F15" s="479">
        <v>0.0</v>
      </c>
      <c r="G15" s="480" t="s">
        <v>19</v>
      </c>
      <c r="H15" s="402"/>
      <c r="I15" s="409" t="s">
        <v>19</v>
      </c>
    </row>
    <row r="16">
      <c r="A16" s="405" t="s">
        <v>61</v>
      </c>
      <c r="B16" s="409">
        <v>5.0</v>
      </c>
      <c r="C16" s="408" t="s">
        <v>331</v>
      </c>
      <c r="D16" s="409" t="s">
        <v>537</v>
      </c>
      <c r="E16" s="408">
        <v>2.0</v>
      </c>
      <c r="F16" s="408">
        <v>5.0</v>
      </c>
      <c r="G16" s="411" t="s">
        <v>26</v>
      </c>
      <c r="H16" s="402"/>
      <c r="I16" s="409" t="s">
        <v>26</v>
      </c>
    </row>
    <row r="17">
      <c r="A17" s="478" t="s">
        <v>61</v>
      </c>
      <c r="B17" s="50">
        <v>12.0</v>
      </c>
      <c r="C17" s="479" t="s">
        <v>213</v>
      </c>
      <c r="D17" s="50" t="s">
        <v>448</v>
      </c>
      <c r="E17" s="479">
        <v>8.0</v>
      </c>
      <c r="F17" s="479">
        <v>9.0</v>
      </c>
      <c r="G17" s="480" t="s">
        <v>26</v>
      </c>
      <c r="H17" s="402"/>
      <c r="I17" s="409" t="s">
        <v>26</v>
      </c>
    </row>
    <row r="18">
      <c r="A18" s="478" t="s">
        <v>520</v>
      </c>
      <c r="B18" s="50">
        <v>13.0</v>
      </c>
      <c r="C18" s="479" t="s">
        <v>502</v>
      </c>
      <c r="D18" s="50" t="s">
        <v>448</v>
      </c>
      <c r="E18" s="479">
        <v>5.0</v>
      </c>
      <c r="F18" s="479">
        <v>10.0</v>
      </c>
      <c r="G18" s="480" t="s">
        <v>19</v>
      </c>
      <c r="H18" s="402"/>
      <c r="I18" s="409" t="s">
        <v>19</v>
      </c>
    </row>
    <row r="19">
      <c r="A19" s="478" t="s">
        <v>68</v>
      </c>
      <c r="B19" s="50">
        <v>23.0</v>
      </c>
      <c r="C19" s="479" t="s">
        <v>541</v>
      </c>
      <c r="D19" s="50" t="s">
        <v>448</v>
      </c>
      <c r="E19" s="479">
        <v>10.0</v>
      </c>
      <c r="F19" s="479">
        <v>0.0</v>
      </c>
      <c r="G19" s="480" t="s">
        <v>19</v>
      </c>
      <c r="H19" s="402"/>
      <c r="I19" s="409" t="s">
        <v>19</v>
      </c>
    </row>
    <row r="20">
      <c r="A20" s="478" t="s">
        <v>68</v>
      </c>
      <c r="B20" s="50">
        <v>26.0</v>
      </c>
      <c r="C20" s="479" t="s">
        <v>542</v>
      </c>
      <c r="D20" s="50" t="s">
        <v>448</v>
      </c>
      <c r="E20" s="479">
        <v>11.0</v>
      </c>
      <c r="F20" s="479">
        <v>1.0</v>
      </c>
      <c r="G20" s="480" t="s">
        <v>19</v>
      </c>
      <c r="H20" s="402"/>
      <c r="I20" s="409" t="s">
        <v>19</v>
      </c>
    </row>
    <row r="21">
      <c r="A21" s="478" t="s">
        <v>68</v>
      </c>
      <c r="B21" s="50">
        <v>30.0</v>
      </c>
      <c r="C21" s="479" t="s">
        <v>543</v>
      </c>
      <c r="D21" s="50" t="s">
        <v>537</v>
      </c>
      <c r="E21" s="479">
        <v>0.0</v>
      </c>
      <c r="F21" s="479">
        <v>10.0</v>
      </c>
      <c r="G21" s="480" t="s">
        <v>26</v>
      </c>
      <c r="H21" s="402"/>
      <c r="I21" s="409" t="s">
        <v>26</v>
      </c>
    </row>
    <row r="22">
      <c r="A22" s="478" t="s">
        <v>398</v>
      </c>
      <c r="B22" s="491">
        <v>31.0</v>
      </c>
      <c r="C22" s="479" t="s">
        <v>499</v>
      </c>
      <c r="D22" s="50" t="s">
        <v>448</v>
      </c>
      <c r="E22" s="479">
        <v>1.0</v>
      </c>
      <c r="F22" s="479">
        <v>0.0</v>
      </c>
      <c r="G22" s="480" t="s">
        <v>19</v>
      </c>
      <c r="H22" s="402"/>
      <c r="I22" s="409" t="s">
        <v>19</v>
      </c>
    </row>
    <row r="23">
      <c r="A23" s="478" t="s">
        <v>74</v>
      </c>
      <c r="B23" s="491">
        <v>6.0</v>
      </c>
      <c r="C23" s="479" t="s">
        <v>366</v>
      </c>
      <c r="D23" s="50" t="s">
        <v>537</v>
      </c>
      <c r="E23" s="479">
        <v>5.0</v>
      </c>
      <c r="F23" s="479">
        <v>9.0</v>
      </c>
      <c r="G23" s="480" t="s">
        <v>26</v>
      </c>
      <c r="H23" s="402"/>
      <c r="I23" s="409" t="s">
        <v>26</v>
      </c>
    </row>
    <row r="24">
      <c r="A24" s="478" t="s">
        <v>367</v>
      </c>
      <c r="B24" s="491">
        <v>13.0</v>
      </c>
      <c r="C24" s="479" t="s">
        <v>454</v>
      </c>
      <c r="D24" s="50" t="s">
        <v>537</v>
      </c>
      <c r="E24" s="479">
        <v>2.0</v>
      </c>
      <c r="F24" s="479">
        <v>10.0</v>
      </c>
      <c r="G24" s="480" t="s">
        <v>19</v>
      </c>
      <c r="H24" s="402"/>
      <c r="I24" s="409" t="s">
        <v>19</v>
      </c>
    </row>
    <row r="25">
      <c r="A25" s="405" t="s">
        <v>74</v>
      </c>
      <c r="B25" s="454">
        <v>17.0</v>
      </c>
      <c r="C25" s="408" t="s">
        <v>206</v>
      </c>
      <c r="D25" s="409" t="s">
        <v>448</v>
      </c>
      <c r="E25" s="408">
        <v>3.0</v>
      </c>
      <c r="F25" s="408">
        <v>8.0</v>
      </c>
      <c r="G25" s="411" t="s">
        <v>26</v>
      </c>
      <c r="H25" s="402"/>
      <c r="I25" s="409" t="s">
        <v>26</v>
      </c>
    </row>
    <row r="26">
      <c r="A26" s="405" t="s">
        <v>74</v>
      </c>
      <c r="B26" s="454">
        <v>20.0</v>
      </c>
      <c r="C26" s="408" t="s">
        <v>166</v>
      </c>
      <c r="D26" s="409" t="s">
        <v>448</v>
      </c>
      <c r="E26" s="408">
        <v>4.0</v>
      </c>
      <c r="F26" s="408">
        <v>7.0</v>
      </c>
      <c r="G26" s="411" t="s">
        <v>26</v>
      </c>
      <c r="H26" s="402"/>
      <c r="I26" s="409" t="s">
        <v>26</v>
      </c>
    </row>
    <row r="27">
      <c r="A27" s="405" t="s">
        <v>74</v>
      </c>
      <c r="B27" s="454">
        <v>27.0</v>
      </c>
      <c r="C27" s="408" t="s">
        <v>370</v>
      </c>
      <c r="D27" s="409" t="s">
        <v>537</v>
      </c>
      <c r="E27" s="408">
        <v>4.0</v>
      </c>
      <c r="F27" s="408">
        <v>12.0</v>
      </c>
      <c r="G27" s="411" t="s">
        <v>26</v>
      </c>
      <c r="H27" s="402"/>
      <c r="I27" s="409" t="s">
        <v>26</v>
      </c>
    </row>
    <row r="28">
      <c r="A28" s="435" t="s">
        <v>106</v>
      </c>
      <c r="B28" s="468">
        <v>5.0</v>
      </c>
      <c r="C28" s="439" t="s">
        <v>418</v>
      </c>
      <c r="D28" s="438" t="s">
        <v>537</v>
      </c>
      <c r="E28" s="439">
        <v>5.0</v>
      </c>
      <c r="F28" s="439">
        <v>13.0</v>
      </c>
      <c r="G28" s="440" t="s">
        <v>26</v>
      </c>
      <c r="H28" s="402"/>
      <c r="I28" s="409" t="s">
        <v>26</v>
      </c>
    </row>
    <row r="29">
      <c r="A29" s="374" t="s">
        <v>312</v>
      </c>
      <c r="B29" s="132"/>
      <c r="C29" s="132"/>
      <c r="D29" s="375" t="s">
        <v>314</v>
      </c>
      <c r="E29" s="377">
        <f t="shared" ref="E29:F29" si="1">SUM(E4:E28)</f>
        <v>103</v>
      </c>
      <c r="F29" s="377">
        <f t="shared" si="1"/>
        <v>148</v>
      </c>
      <c r="G29" s="378"/>
      <c r="H29" s="383"/>
      <c r="I29" s="476"/>
    </row>
  </sheetData>
  <mergeCells count="2">
    <mergeCell ref="A5:G6"/>
    <mergeCell ref="A29:C29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8.5"/>
    <col customWidth="1" min="5" max="5" width="4.88"/>
    <col customWidth="1" min="6" max="6" width="5.13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COUNTIF(G5:G35,"W")&amp;"-"&amp;COUNTIF(G5:G35,"L")&amp;"-"&amp;COUNTIF(G5:G35,"T")&amp;"-"&amp;COUNTIF(G5:G35,"OTL")</f>
        <v>12-11-0-0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COUNTIF(I5:I35,"W")&amp;"-"&amp;COUNTIF(I5:I35,"L")&amp;"-"&amp;COUNTIF(I5:I35,"T")&amp;"-"&amp;COUNTIF(I5:I35,"OTL")</f>
        <v>9-9-0-0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540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19.0</v>
      </c>
      <c r="C8" s="521" t="s">
        <v>497</v>
      </c>
      <c r="D8" s="520" t="s">
        <v>537</v>
      </c>
      <c r="E8" s="521">
        <v>6.0</v>
      </c>
      <c r="F8" s="521">
        <v>5.0</v>
      </c>
      <c r="G8" s="522" t="s">
        <v>19</v>
      </c>
      <c r="H8" s="402"/>
      <c r="I8" s="16"/>
    </row>
    <row r="9">
      <c r="A9" s="523" t="s">
        <v>263</v>
      </c>
      <c r="B9" s="524">
        <v>20.0</v>
      </c>
      <c r="C9" s="525" t="s">
        <v>352</v>
      </c>
      <c r="D9" s="524" t="s">
        <v>537</v>
      </c>
      <c r="E9" s="525">
        <v>3.0</v>
      </c>
      <c r="F9" s="525">
        <v>4.0</v>
      </c>
      <c r="G9" s="526" t="s">
        <v>26</v>
      </c>
      <c r="H9" s="383"/>
      <c r="I9" s="476"/>
    </row>
    <row r="10">
      <c r="A10" s="478" t="s">
        <v>17</v>
      </c>
      <c r="B10" s="50">
        <v>26.0</v>
      </c>
      <c r="C10" s="479" t="s">
        <v>530</v>
      </c>
      <c r="D10" s="50" t="s">
        <v>537</v>
      </c>
      <c r="E10" s="479">
        <v>15.0</v>
      </c>
      <c r="F10" s="479">
        <v>5.0</v>
      </c>
      <c r="G10" s="480" t="s">
        <v>19</v>
      </c>
      <c r="H10" s="402"/>
      <c r="I10" s="409" t="s">
        <v>19</v>
      </c>
    </row>
    <row r="11">
      <c r="A11" s="405" t="s">
        <v>34</v>
      </c>
      <c r="B11" s="409">
        <v>2.0</v>
      </c>
      <c r="C11" s="408" t="s">
        <v>331</v>
      </c>
      <c r="D11" s="409" t="s">
        <v>537</v>
      </c>
      <c r="E11" s="408">
        <v>5.0</v>
      </c>
      <c r="F11" s="408">
        <v>7.0</v>
      </c>
      <c r="G11" s="411" t="s">
        <v>26</v>
      </c>
      <c r="H11" s="402"/>
      <c r="I11" s="409" t="s">
        <v>26</v>
      </c>
    </row>
    <row r="12">
      <c r="A12" s="405" t="s">
        <v>34</v>
      </c>
      <c r="B12" s="409">
        <v>9.0</v>
      </c>
      <c r="C12" s="408" t="s">
        <v>504</v>
      </c>
      <c r="D12" s="409" t="s">
        <v>537</v>
      </c>
      <c r="E12" s="408">
        <v>3.0</v>
      </c>
      <c r="F12" s="408">
        <v>5.0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10.0</v>
      </c>
      <c r="C13" s="408" t="s">
        <v>475</v>
      </c>
      <c r="D13" s="409" t="s">
        <v>448</v>
      </c>
      <c r="E13" s="408">
        <v>3.0</v>
      </c>
      <c r="F13" s="408">
        <v>5.0</v>
      </c>
      <c r="G13" s="411" t="s">
        <v>26</v>
      </c>
      <c r="H13" s="402"/>
      <c r="I13" s="409" t="s">
        <v>26</v>
      </c>
    </row>
    <row r="14">
      <c r="A14" s="405" t="s">
        <v>34</v>
      </c>
      <c r="B14" s="409">
        <v>23.0</v>
      </c>
      <c r="C14" s="408" t="s">
        <v>517</v>
      </c>
      <c r="D14" s="409" t="s">
        <v>448</v>
      </c>
      <c r="E14" s="408">
        <v>6.0</v>
      </c>
      <c r="F14" s="408">
        <v>7.0</v>
      </c>
      <c r="G14" s="411" t="s">
        <v>26</v>
      </c>
      <c r="H14" s="402"/>
      <c r="I14" s="409" t="s">
        <v>26</v>
      </c>
    </row>
    <row r="15">
      <c r="A15" s="478" t="s">
        <v>34</v>
      </c>
      <c r="B15" s="50">
        <v>24.0</v>
      </c>
      <c r="C15" s="479" t="s">
        <v>347</v>
      </c>
      <c r="D15" s="50" t="s">
        <v>448</v>
      </c>
      <c r="E15" s="479">
        <v>4.0</v>
      </c>
      <c r="F15" s="479">
        <v>3.0</v>
      </c>
      <c r="G15" s="480" t="s">
        <v>19</v>
      </c>
      <c r="H15" s="402"/>
      <c r="I15" s="409" t="s">
        <v>19</v>
      </c>
    </row>
    <row r="16">
      <c r="A16" s="405" t="s">
        <v>61</v>
      </c>
      <c r="B16" s="409">
        <v>2.0</v>
      </c>
      <c r="C16" s="408" t="s">
        <v>225</v>
      </c>
      <c r="D16" s="409" t="s">
        <v>448</v>
      </c>
      <c r="E16" s="408">
        <v>8.0</v>
      </c>
      <c r="F16" s="408">
        <v>2.0</v>
      </c>
      <c r="G16" s="411" t="s">
        <v>19</v>
      </c>
      <c r="H16" s="402"/>
      <c r="I16" s="409" t="s">
        <v>19</v>
      </c>
    </row>
    <row r="17">
      <c r="A17" s="478" t="s">
        <v>61</v>
      </c>
      <c r="B17" s="50">
        <v>7.0</v>
      </c>
      <c r="C17" s="479" t="s">
        <v>338</v>
      </c>
      <c r="D17" s="50" t="s">
        <v>537</v>
      </c>
      <c r="E17" s="479">
        <v>14.0</v>
      </c>
      <c r="F17" s="479">
        <v>1.0</v>
      </c>
      <c r="G17" s="480" t="s">
        <v>19</v>
      </c>
      <c r="H17" s="402"/>
      <c r="I17" s="409" t="s">
        <v>19</v>
      </c>
    </row>
    <row r="18">
      <c r="A18" s="478" t="s">
        <v>68</v>
      </c>
      <c r="B18" s="50">
        <v>25.0</v>
      </c>
      <c r="C18" s="479" t="s">
        <v>352</v>
      </c>
      <c r="D18" s="50" t="s">
        <v>537</v>
      </c>
      <c r="E18" s="479">
        <v>5.0</v>
      </c>
      <c r="F18" s="479">
        <v>7.0</v>
      </c>
      <c r="G18" s="480" t="s">
        <v>26</v>
      </c>
      <c r="H18" s="402"/>
      <c r="I18" s="409" t="s">
        <v>26</v>
      </c>
    </row>
    <row r="19">
      <c r="A19" s="478" t="s">
        <v>68</v>
      </c>
      <c r="B19" s="50">
        <v>27.0</v>
      </c>
      <c r="C19" s="479" t="s">
        <v>166</v>
      </c>
      <c r="D19" s="50" t="s">
        <v>448</v>
      </c>
      <c r="E19" s="479">
        <v>9.0</v>
      </c>
      <c r="F19" s="479">
        <v>7.0</v>
      </c>
      <c r="G19" s="480" t="s">
        <v>19</v>
      </c>
      <c r="H19" s="402"/>
      <c r="I19" s="409" t="s">
        <v>19</v>
      </c>
    </row>
    <row r="20">
      <c r="A20" s="523" t="s">
        <v>298</v>
      </c>
      <c r="B20" s="524">
        <v>31.0</v>
      </c>
      <c r="C20" s="525" t="s">
        <v>545</v>
      </c>
      <c r="D20" s="524" t="s">
        <v>448</v>
      </c>
      <c r="E20" s="525">
        <v>4.0</v>
      </c>
      <c r="F20" s="525">
        <v>10.0</v>
      </c>
      <c r="G20" s="526" t="s">
        <v>26</v>
      </c>
      <c r="H20" s="402"/>
      <c r="I20" s="16"/>
    </row>
    <row r="21">
      <c r="A21" s="523" t="s">
        <v>382</v>
      </c>
      <c r="B21" s="524">
        <v>1.0</v>
      </c>
      <c r="C21" s="525" t="s">
        <v>546</v>
      </c>
      <c r="D21" s="524" t="s">
        <v>448</v>
      </c>
      <c r="E21" s="525">
        <v>6.0</v>
      </c>
      <c r="F21" s="525">
        <v>3.0</v>
      </c>
      <c r="G21" s="526" t="s">
        <v>19</v>
      </c>
      <c r="H21" s="402"/>
      <c r="I21" s="16"/>
    </row>
    <row r="22">
      <c r="A22" s="478" t="s">
        <v>74</v>
      </c>
      <c r="B22" s="491">
        <v>8.0</v>
      </c>
      <c r="C22" s="479" t="s">
        <v>525</v>
      </c>
      <c r="D22" s="50" t="s">
        <v>537</v>
      </c>
      <c r="E22" s="479">
        <v>8.0</v>
      </c>
      <c r="F22" s="479">
        <v>4.0</v>
      </c>
      <c r="G22" s="480" t="s">
        <v>19</v>
      </c>
      <c r="H22" s="402"/>
      <c r="I22" s="409" t="s">
        <v>19</v>
      </c>
    </row>
    <row r="23">
      <c r="A23" s="478" t="s">
        <v>74</v>
      </c>
      <c r="B23" s="491">
        <v>10.0</v>
      </c>
      <c r="C23" s="479" t="s">
        <v>319</v>
      </c>
      <c r="D23" s="50" t="s">
        <v>448</v>
      </c>
      <c r="E23" s="479">
        <v>2.0</v>
      </c>
      <c r="F23" s="479">
        <v>3.0</v>
      </c>
      <c r="G23" s="480" t="s">
        <v>26</v>
      </c>
      <c r="H23" s="402"/>
      <c r="I23" s="409" t="s">
        <v>26</v>
      </c>
    </row>
    <row r="24">
      <c r="A24" s="523" t="s">
        <v>382</v>
      </c>
      <c r="B24" s="535">
        <v>15.0</v>
      </c>
      <c r="C24" s="525" t="s">
        <v>548</v>
      </c>
      <c r="D24" s="524" t="s">
        <v>537</v>
      </c>
      <c r="E24" s="525">
        <v>6.0</v>
      </c>
      <c r="F24" s="525">
        <v>3.0</v>
      </c>
      <c r="G24" s="526" t="s">
        <v>19</v>
      </c>
      <c r="H24" s="402"/>
      <c r="I24" s="16"/>
    </row>
    <row r="25">
      <c r="A25" s="405" t="s">
        <v>74</v>
      </c>
      <c r="B25" s="454">
        <v>17.0</v>
      </c>
      <c r="C25" s="408" t="s">
        <v>206</v>
      </c>
      <c r="D25" s="409" t="s">
        <v>448</v>
      </c>
      <c r="E25" s="408">
        <v>5.0</v>
      </c>
      <c r="F25" s="408">
        <v>3.0</v>
      </c>
      <c r="G25" s="411" t="s">
        <v>19</v>
      </c>
      <c r="H25" s="402"/>
      <c r="I25" s="409" t="s">
        <v>19</v>
      </c>
    </row>
    <row r="26">
      <c r="A26" s="405" t="s">
        <v>74</v>
      </c>
      <c r="B26" s="454">
        <v>22.0</v>
      </c>
      <c r="C26" s="408" t="s">
        <v>494</v>
      </c>
      <c r="D26" s="409" t="s">
        <v>537</v>
      </c>
      <c r="E26" s="408">
        <v>4.0</v>
      </c>
      <c r="F26" s="408">
        <v>0.0</v>
      </c>
      <c r="G26" s="411" t="s">
        <v>19</v>
      </c>
      <c r="H26" s="402"/>
      <c r="I26" s="409" t="s">
        <v>19</v>
      </c>
    </row>
    <row r="27">
      <c r="A27" s="405" t="s">
        <v>74</v>
      </c>
      <c r="B27" s="454">
        <v>29.0</v>
      </c>
      <c r="C27" s="255" t="s">
        <v>549</v>
      </c>
      <c r="D27" s="409" t="s">
        <v>537</v>
      </c>
      <c r="E27" s="408">
        <v>1.0</v>
      </c>
      <c r="F27" s="408">
        <v>6.0</v>
      </c>
      <c r="G27" s="411" t="s">
        <v>26</v>
      </c>
      <c r="H27" s="402"/>
      <c r="I27" s="409" t="s">
        <v>26</v>
      </c>
    </row>
    <row r="28">
      <c r="A28" s="405" t="s">
        <v>106</v>
      </c>
      <c r="B28" s="454">
        <v>1.0</v>
      </c>
      <c r="C28" s="408" t="s">
        <v>550</v>
      </c>
      <c r="D28" s="409" t="s">
        <v>448</v>
      </c>
      <c r="E28" s="408">
        <v>1.0</v>
      </c>
      <c r="F28" s="408">
        <v>9.0</v>
      </c>
      <c r="G28" s="411" t="s">
        <v>26</v>
      </c>
      <c r="H28" s="402"/>
      <c r="I28" s="409" t="s">
        <v>26</v>
      </c>
    </row>
    <row r="29">
      <c r="A29" s="405" t="s">
        <v>106</v>
      </c>
      <c r="B29" s="454">
        <v>7.0</v>
      </c>
      <c r="C29" s="408" t="s">
        <v>370</v>
      </c>
      <c r="D29" s="409" t="s">
        <v>537</v>
      </c>
      <c r="E29" s="408">
        <v>5.0</v>
      </c>
      <c r="F29" s="408">
        <v>2.0</v>
      </c>
      <c r="G29" s="411" t="s">
        <v>19</v>
      </c>
      <c r="H29" s="402"/>
      <c r="I29" s="409" t="s">
        <v>19</v>
      </c>
    </row>
    <row r="30">
      <c r="A30" s="435" t="s">
        <v>106</v>
      </c>
      <c r="B30" s="468">
        <v>8.0</v>
      </c>
      <c r="C30" s="439" t="s">
        <v>213</v>
      </c>
      <c r="D30" s="438" t="s">
        <v>448</v>
      </c>
      <c r="E30" s="439">
        <v>0.0</v>
      </c>
      <c r="F30" s="439">
        <v>1.0</v>
      </c>
      <c r="G30" s="440" t="s">
        <v>26</v>
      </c>
      <c r="H30" s="402"/>
      <c r="I30" s="409" t="s">
        <v>26</v>
      </c>
    </row>
    <row r="31">
      <c r="A31" s="374" t="s">
        <v>419</v>
      </c>
      <c r="B31" s="132"/>
      <c r="C31" s="132"/>
      <c r="D31" s="375" t="s">
        <v>314</v>
      </c>
      <c r="E31" s="377">
        <f t="shared" ref="E31:F31" si="1">SUM(E4:E30)</f>
        <v>123</v>
      </c>
      <c r="F31" s="377">
        <f t="shared" si="1"/>
        <v>102</v>
      </c>
      <c r="G31" s="378"/>
      <c r="H31" s="383"/>
      <c r="I31" s="476"/>
    </row>
  </sheetData>
  <mergeCells count="2">
    <mergeCell ref="A5:G6"/>
    <mergeCell ref="A31:C31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8.0"/>
    <col customWidth="1" min="5" max="5" width="5.5"/>
    <col customWidth="1" min="6" max="6" width="5.13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COUNTIF(G5:G35,"W")&amp;"-"&amp;COUNTIF(G5:G35,"L")&amp;"-"&amp;COUNTIF(G5:G35,"T")&amp;"-"&amp;COUNTIF(G5:G35,"OTL")</f>
        <v>8-14-3-0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COUNTIF(I5:I35,"W")&amp;"-"&amp;COUNTIF(I5:I35,"L")&amp;"-"&amp;COUNTIF(I5:I35,"T")&amp;"-"&amp;COUNTIF(I5:I35,"OTL")</f>
        <v>7-9-2-0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551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20.0</v>
      </c>
      <c r="C8" s="521" t="s">
        <v>504</v>
      </c>
      <c r="D8" s="520" t="s">
        <v>537</v>
      </c>
      <c r="E8" s="521">
        <v>4.0</v>
      </c>
      <c r="F8" s="521">
        <v>5.0</v>
      </c>
      <c r="G8" s="522" t="s">
        <v>26</v>
      </c>
      <c r="H8" s="402"/>
      <c r="I8" s="16"/>
    </row>
    <row r="9">
      <c r="A9" s="523" t="s">
        <v>263</v>
      </c>
      <c r="B9" s="524">
        <v>21.0</v>
      </c>
      <c r="C9" s="525" t="s">
        <v>352</v>
      </c>
      <c r="D9" s="524" t="s">
        <v>537</v>
      </c>
      <c r="E9" s="525">
        <v>6.0</v>
      </c>
      <c r="F9" s="525">
        <v>6.0</v>
      </c>
      <c r="G9" s="526" t="s">
        <v>73</v>
      </c>
      <c r="H9" s="383"/>
      <c r="I9" s="476"/>
    </row>
    <row r="10">
      <c r="A10" s="478" t="s">
        <v>17</v>
      </c>
      <c r="B10" s="50">
        <v>27.0</v>
      </c>
      <c r="C10" s="479" t="s">
        <v>366</v>
      </c>
      <c r="D10" s="50" t="s">
        <v>537</v>
      </c>
      <c r="E10" s="479">
        <v>10.0</v>
      </c>
      <c r="F10" s="479">
        <v>0.0</v>
      </c>
      <c r="G10" s="480" t="s">
        <v>19</v>
      </c>
      <c r="H10" s="402"/>
      <c r="I10" s="409" t="s">
        <v>19</v>
      </c>
    </row>
    <row r="11">
      <c r="A11" s="405" t="s">
        <v>34</v>
      </c>
      <c r="B11" s="409">
        <v>2.0</v>
      </c>
      <c r="C11" s="408" t="s">
        <v>544</v>
      </c>
      <c r="D11" s="409" t="s">
        <v>448</v>
      </c>
      <c r="E11" s="408">
        <v>5.0</v>
      </c>
      <c r="F11" s="408">
        <v>6.0</v>
      </c>
      <c r="G11" s="411" t="s">
        <v>26</v>
      </c>
      <c r="H11" s="402"/>
      <c r="I11" s="409" t="s">
        <v>26</v>
      </c>
    </row>
    <row r="12">
      <c r="A12" s="405" t="s">
        <v>34</v>
      </c>
      <c r="B12" s="409">
        <v>3.0</v>
      </c>
      <c r="C12" s="408" t="s">
        <v>544</v>
      </c>
      <c r="D12" s="409" t="s">
        <v>448</v>
      </c>
      <c r="E12" s="408">
        <v>6.0</v>
      </c>
      <c r="F12" s="408">
        <v>8.0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11.0</v>
      </c>
      <c r="C13" s="408" t="s">
        <v>347</v>
      </c>
      <c r="D13" s="409" t="s">
        <v>448</v>
      </c>
      <c r="E13" s="408">
        <v>4.0</v>
      </c>
      <c r="F13" s="408">
        <v>9.0</v>
      </c>
      <c r="G13" s="411" t="s">
        <v>26</v>
      </c>
      <c r="H13" s="402"/>
      <c r="I13" s="409" t="s">
        <v>26</v>
      </c>
    </row>
    <row r="14">
      <c r="A14" s="405" t="s">
        <v>34</v>
      </c>
      <c r="B14" s="409">
        <v>17.0</v>
      </c>
      <c r="C14" s="408" t="s">
        <v>361</v>
      </c>
      <c r="D14" s="409" t="s">
        <v>537</v>
      </c>
      <c r="E14" s="408">
        <v>6.0</v>
      </c>
      <c r="F14" s="408">
        <v>6.0</v>
      </c>
      <c r="G14" s="411" t="s">
        <v>73</v>
      </c>
      <c r="H14" s="402"/>
      <c r="I14" s="409" t="s">
        <v>73</v>
      </c>
    </row>
    <row r="15">
      <c r="A15" s="478" t="s">
        <v>61</v>
      </c>
      <c r="B15" s="50">
        <v>1.0</v>
      </c>
      <c r="C15" s="479" t="s">
        <v>525</v>
      </c>
      <c r="D15" s="50" t="s">
        <v>537</v>
      </c>
      <c r="E15" s="479">
        <v>7.0</v>
      </c>
      <c r="F15" s="479">
        <v>1.0</v>
      </c>
      <c r="G15" s="480" t="s">
        <v>19</v>
      </c>
      <c r="H15" s="402"/>
      <c r="I15" s="409" t="s">
        <v>19</v>
      </c>
    </row>
    <row r="16">
      <c r="A16" s="405" t="s">
        <v>61</v>
      </c>
      <c r="B16" s="409">
        <v>2.0</v>
      </c>
      <c r="C16" s="408" t="s">
        <v>517</v>
      </c>
      <c r="D16" s="409" t="s">
        <v>448</v>
      </c>
      <c r="E16" s="408">
        <v>3.0</v>
      </c>
      <c r="F16" s="408">
        <v>10.0</v>
      </c>
      <c r="G16" s="411" t="s">
        <v>26</v>
      </c>
      <c r="H16" s="402"/>
      <c r="I16" s="409" t="s">
        <v>26</v>
      </c>
    </row>
    <row r="17">
      <c r="A17" s="478" t="s">
        <v>61</v>
      </c>
      <c r="B17" s="50">
        <v>5.0</v>
      </c>
      <c r="C17" s="479" t="s">
        <v>206</v>
      </c>
      <c r="D17" s="50" t="s">
        <v>448</v>
      </c>
      <c r="E17" s="479">
        <v>6.0</v>
      </c>
      <c r="F17" s="479">
        <v>7.0</v>
      </c>
      <c r="G17" s="480" t="s">
        <v>26</v>
      </c>
      <c r="H17" s="402"/>
      <c r="I17" s="409" t="s">
        <v>26</v>
      </c>
    </row>
    <row r="18">
      <c r="A18" s="478" t="s">
        <v>61</v>
      </c>
      <c r="B18" s="50">
        <v>8.0</v>
      </c>
      <c r="C18" s="479" t="s">
        <v>352</v>
      </c>
      <c r="D18" s="50" t="s">
        <v>537</v>
      </c>
      <c r="E18" s="479">
        <v>5.0</v>
      </c>
      <c r="F18" s="479">
        <v>2.0</v>
      </c>
      <c r="G18" s="480" t="s">
        <v>19</v>
      </c>
      <c r="H18" s="402"/>
      <c r="I18" s="409" t="s">
        <v>19</v>
      </c>
    </row>
    <row r="19">
      <c r="A19" s="478" t="s">
        <v>61</v>
      </c>
      <c r="B19" s="50">
        <v>9.0</v>
      </c>
      <c r="C19" s="479" t="s">
        <v>539</v>
      </c>
      <c r="D19" s="50" t="s">
        <v>537</v>
      </c>
      <c r="E19" s="479">
        <v>4.0</v>
      </c>
      <c r="F19" s="479">
        <v>6.0</v>
      </c>
      <c r="G19" s="480" t="s">
        <v>26</v>
      </c>
      <c r="H19" s="402"/>
      <c r="I19" s="409" t="s">
        <v>26</v>
      </c>
    </row>
    <row r="20">
      <c r="A20" s="523" t="s">
        <v>298</v>
      </c>
      <c r="B20" s="524">
        <v>14.0</v>
      </c>
      <c r="C20" s="525" t="s">
        <v>519</v>
      </c>
      <c r="D20" s="524" t="s">
        <v>448</v>
      </c>
      <c r="E20" s="525">
        <v>8.0</v>
      </c>
      <c r="F20" s="525">
        <v>2.0</v>
      </c>
      <c r="G20" s="526" t="s">
        <v>19</v>
      </c>
      <c r="H20" s="402"/>
      <c r="I20" s="16"/>
    </row>
    <row r="21">
      <c r="A21" s="523" t="s">
        <v>298</v>
      </c>
      <c r="B21" s="524">
        <v>19.0</v>
      </c>
      <c r="C21" s="525" t="s">
        <v>556</v>
      </c>
      <c r="D21" s="524" t="s">
        <v>537</v>
      </c>
      <c r="E21" s="525">
        <v>2.0</v>
      </c>
      <c r="F21" s="525">
        <v>4.0</v>
      </c>
      <c r="G21" s="526" t="s">
        <v>26</v>
      </c>
      <c r="H21" s="402"/>
      <c r="I21" s="16"/>
    </row>
    <row r="22">
      <c r="A22" s="478" t="s">
        <v>68</v>
      </c>
      <c r="B22" s="491">
        <v>20.0</v>
      </c>
      <c r="C22" s="479" t="s">
        <v>347</v>
      </c>
      <c r="D22" s="50" t="s">
        <v>448</v>
      </c>
      <c r="E22" s="479">
        <v>4.0</v>
      </c>
      <c r="F22" s="479">
        <v>8.0</v>
      </c>
      <c r="G22" s="480" t="s">
        <v>26</v>
      </c>
      <c r="H22" s="402"/>
      <c r="I22" s="409" t="s">
        <v>26</v>
      </c>
    </row>
    <row r="23">
      <c r="A23" s="523" t="s">
        <v>298</v>
      </c>
      <c r="B23" s="535">
        <v>25.0</v>
      </c>
      <c r="C23" s="525" t="s">
        <v>558</v>
      </c>
      <c r="D23" s="524" t="s">
        <v>448</v>
      </c>
      <c r="E23" s="525">
        <v>3.0</v>
      </c>
      <c r="F23" s="525">
        <v>11.0</v>
      </c>
      <c r="G23" s="526" t="s">
        <v>26</v>
      </c>
      <c r="H23" s="402"/>
      <c r="I23" s="16"/>
    </row>
    <row r="24">
      <c r="A24" s="478" t="s">
        <v>68</v>
      </c>
      <c r="B24" s="491">
        <v>26.0</v>
      </c>
      <c r="C24" s="479" t="s">
        <v>539</v>
      </c>
      <c r="D24" s="50" t="s">
        <v>537</v>
      </c>
      <c r="E24" s="479">
        <v>6.0</v>
      </c>
      <c r="F24" s="479">
        <v>6.0</v>
      </c>
      <c r="G24" s="480" t="s">
        <v>73</v>
      </c>
      <c r="H24" s="402"/>
      <c r="I24" s="409" t="s">
        <v>73</v>
      </c>
    </row>
    <row r="25">
      <c r="A25" s="523" t="s">
        <v>382</v>
      </c>
      <c r="B25" s="535">
        <v>2.0</v>
      </c>
      <c r="C25" s="525" t="s">
        <v>561</v>
      </c>
      <c r="D25" s="524" t="s">
        <v>448</v>
      </c>
      <c r="E25" s="525">
        <v>5.0</v>
      </c>
      <c r="F25" s="525">
        <v>6.0</v>
      </c>
      <c r="G25" s="526" t="s">
        <v>26</v>
      </c>
      <c r="H25" s="402"/>
      <c r="I25" s="16"/>
    </row>
    <row r="26">
      <c r="A26" s="523" t="s">
        <v>382</v>
      </c>
      <c r="B26" s="535">
        <v>3.0</v>
      </c>
      <c r="C26" s="525" t="s">
        <v>563</v>
      </c>
      <c r="D26" s="524" t="s">
        <v>448</v>
      </c>
      <c r="E26" s="525">
        <v>3.0</v>
      </c>
      <c r="F26" s="525">
        <v>15.0</v>
      </c>
      <c r="G26" s="526" t="s">
        <v>26</v>
      </c>
      <c r="H26" s="402"/>
      <c r="I26" s="16"/>
    </row>
    <row r="27">
      <c r="A27" s="405" t="s">
        <v>367</v>
      </c>
      <c r="B27" s="454">
        <v>9.0</v>
      </c>
      <c r="C27" s="408" t="s">
        <v>543</v>
      </c>
      <c r="D27" s="409" t="s">
        <v>537</v>
      </c>
      <c r="E27" s="408">
        <v>6.0</v>
      </c>
      <c r="F27" s="408">
        <v>8.0</v>
      </c>
      <c r="G27" s="411" t="s">
        <v>19</v>
      </c>
      <c r="H27" s="402"/>
      <c r="I27" s="409" t="s">
        <v>19</v>
      </c>
    </row>
    <row r="28">
      <c r="A28" s="405" t="s">
        <v>74</v>
      </c>
      <c r="B28" s="454">
        <v>16.0</v>
      </c>
      <c r="C28" s="408" t="s">
        <v>358</v>
      </c>
      <c r="D28" s="409" t="s">
        <v>537</v>
      </c>
      <c r="E28" s="408">
        <v>11.0</v>
      </c>
      <c r="F28" s="408">
        <v>1.0</v>
      </c>
      <c r="G28" s="411" t="s">
        <v>19</v>
      </c>
      <c r="H28" s="402"/>
      <c r="I28" s="409" t="s">
        <v>19</v>
      </c>
    </row>
    <row r="29">
      <c r="A29" s="405" t="s">
        <v>74</v>
      </c>
      <c r="B29" s="454">
        <v>18.0</v>
      </c>
      <c r="C29" s="255" t="s">
        <v>560</v>
      </c>
      <c r="D29" s="409" t="s">
        <v>448</v>
      </c>
      <c r="E29" s="408">
        <v>6.0</v>
      </c>
      <c r="F29" s="408">
        <v>1.0</v>
      </c>
      <c r="G29" s="411" t="s">
        <v>19</v>
      </c>
      <c r="H29" s="402"/>
      <c r="I29" s="409" t="s">
        <v>19</v>
      </c>
    </row>
    <row r="30">
      <c r="A30" s="405" t="s">
        <v>74</v>
      </c>
      <c r="B30" s="454">
        <v>23.0</v>
      </c>
      <c r="C30" s="408" t="s">
        <v>539</v>
      </c>
      <c r="D30" s="409" t="s">
        <v>537</v>
      </c>
      <c r="E30" s="408">
        <v>8.0</v>
      </c>
      <c r="F30" s="408">
        <v>3.0</v>
      </c>
      <c r="G30" s="411" t="s">
        <v>19</v>
      </c>
      <c r="H30" s="402"/>
      <c r="I30" s="409" t="s">
        <v>19</v>
      </c>
    </row>
    <row r="31">
      <c r="A31" s="405" t="s">
        <v>106</v>
      </c>
      <c r="B31" s="454">
        <v>2.0</v>
      </c>
      <c r="C31" s="408" t="s">
        <v>525</v>
      </c>
      <c r="D31" s="409" t="s">
        <v>537</v>
      </c>
      <c r="E31" s="408">
        <v>5.0</v>
      </c>
      <c r="F31" s="408">
        <v>8.0</v>
      </c>
      <c r="G31" s="411" t="s">
        <v>26</v>
      </c>
      <c r="H31" s="402"/>
      <c r="I31" s="409" t="s">
        <v>26</v>
      </c>
    </row>
    <row r="32">
      <c r="A32" s="435" t="s">
        <v>106</v>
      </c>
      <c r="B32" s="468">
        <v>3.0</v>
      </c>
      <c r="C32" s="439" t="s">
        <v>550</v>
      </c>
      <c r="D32" s="438" t="s">
        <v>448</v>
      </c>
      <c r="E32" s="439">
        <v>4.0</v>
      </c>
      <c r="F32" s="439">
        <v>7.0</v>
      </c>
      <c r="G32" s="440" t="s">
        <v>26</v>
      </c>
      <c r="H32" s="402"/>
      <c r="I32" s="409" t="s">
        <v>26</v>
      </c>
    </row>
    <row r="33">
      <c r="A33" s="374" t="s">
        <v>312</v>
      </c>
      <c r="B33" s="132"/>
      <c r="C33" s="132"/>
      <c r="D33" s="375" t="s">
        <v>314</v>
      </c>
      <c r="E33" s="377">
        <f t="shared" ref="E33:F33" si="1">SUM(E6:E32)</f>
        <v>137</v>
      </c>
      <c r="F33" s="377">
        <f t="shared" si="1"/>
        <v>146</v>
      </c>
      <c r="G33" s="378"/>
      <c r="H33" s="383"/>
      <c r="I33" s="476"/>
    </row>
  </sheetData>
  <mergeCells count="2">
    <mergeCell ref="A5:G6"/>
    <mergeCell ref="A33:C33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8.63"/>
    <col customWidth="1" min="5" max="5" width="5.13"/>
    <col customWidth="1" min="6" max="6" width="5.0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COUNTIF(G8:G37,"W")&amp;"-"&amp;COUNTIF(G8:G37,"L")&amp;"-"&amp;COUNTIF(G8:G37,"T")&amp;"-"&amp;COUNTIF(G8:G37,"OTL")</f>
        <v>20-6-2-0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COUNTIF(I8:I37,"W")&amp;"-"&amp;COUNTIF(I8:I37,"L")&amp;"-"&amp;COUNTIF(I8:I37,"T")&amp;"-"&amp;COUNTIF(I8:I37,"OTL")</f>
        <v>14-6-1-0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552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15.0</v>
      </c>
      <c r="C8" s="521" t="s">
        <v>495</v>
      </c>
      <c r="D8" s="520" t="s">
        <v>537</v>
      </c>
      <c r="E8" s="521">
        <v>11.0</v>
      </c>
      <c r="F8" s="521">
        <v>4.0</v>
      </c>
      <c r="G8" s="522" t="s">
        <v>19</v>
      </c>
      <c r="H8" s="402"/>
      <c r="I8" s="16"/>
    </row>
    <row r="9">
      <c r="A9" s="523" t="s">
        <v>263</v>
      </c>
      <c r="B9" s="524">
        <v>21.0</v>
      </c>
      <c r="C9" s="525" t="s">
        <v>522</v>
      </c>
      <c r="D9" s="524" t="s">
        <v>537</v>
      </c>
      <c r="E9" s="525">
        <v>4.0</v>
      </c>
      <c r="F9" s="525">
        <v>2.0</v>
      </c>
      <c r="G9" s="526" t="s">
        <v>19</v>
      </c>
      <c r="H9" s="383"/>
      <c r="I9" s="476"/>
    </row>
    <row r="10">
      <c r="A10" s="523" t="s">
        <v>263</v>
      </c>
      <c r="B10" s="524">
        <v>22.0</v>
      </c>
      <c r="C10" s="525" t="s">
        <v>352</v>
      </c>
      <c r="D10" s="524" t="s">
        <v>537</v>
      </c>
      <c r="E10" s="525">
        <v>9.0</v>
      </c>
      <c r="F10" s="525">
        <v>5.0</v>
      </c>
      <c r="G10" s="526" t="s">
        <v>19</v>
      </c>
      <c r="H10" s="402"/>
      <c r="I10" s="16"/>
    </row>
    <row r="11">
      <c r="A11" s="405" t="s">
        <v>17</v>
      </c>
      <c r="B11" s="409">
        <v>27.0</v>
      </c>
      <c r="C11" s="408" t="s">
        <v>544</v>
      </c>
      <c r="D11" s="409" t="s">
        <v>448</v>
      </c>
      <c r="E11" s="408">
        <v>9.0</v>
      </c>
      <c r="F11" s="408">
        <v>5.0</v>
      </c>
      <c r="G11" s="411" t="s">
        <v>19</v>
      </c>
      <c r="H11" s="402"/>
      <c r="I11" s="409" t="s">
        <v>19</v>
      </c>
    </row>
    <row r="12">
      <c r="A12" s="405" t="s">
        <v>17</v>
      </c>
      <c r="B12" s="409">
        <v>28.0</v>
      </c>
      <c r="C12" s="408" t="s">
        <v>544</v>
      </c>
      <c r="D12" s="409" t="s">
        <v>448</v>
      </c>
      <c r="E12" s="408">
        <v>8.0</v>
      </c>
      <c r="F12" s="408">
        <v>2.0</v>
      </c>
      <c r="G12" s="411" t="s">
        <v>19</v>
      </c>
      <c r="H12" s="402"/>
      <c r="I12" s="409" t="s">
        <v>19</v>
      </c>
    </row>
    <row r="13">
      <c r="A13" s="523" t="s">
        <v>277</v>
      </c>
      <c r="B13" s="524">
        <v>1.0</v>
      </c>
      <c r="C13" s="525" t="s">
        <v>266</v>
      </c>
      <c r="D13" s="524" t="s">
        <v>448</v>
      </c>
      <c r="E13" s="525">
        <v>9.0</v>
      </c>
      <c r="F13" s="525">
        <v>7.0</v>
      </c>
      <c r="G13" s="526" t="s">
        <v>19</v>
      </c>
      <c r="H13" s="402"/>
      <c r="I13" s="16"/>
    </row>
    <row r="14">
      <c r="A14" s="405" t="s">
        <v>34</v>
      </c>
      <c r="B14" s="409">
        <v>4.0</v>
      </c>
      <c r="C14" s="408" t="s">
        <v>361</v>
      </c>
      <c r="D14" s="409" t="s">
        <v>537</v>
      </c>
      <c r="E14" s="408">
        <v>5.0</v>
      </c>
      <c r="F14" s="408">
        <v>6.0</v>
      </c>
      <c r="G14" s="411" t="s">
        <v>26</v>
      </c>
      <c r="H14" s="402"/>
      <c r="I14" s="409" t="s">
        <v>26</v>
      </c>
    </row>
    <row r="15">
      <c r="A15" s="478" t="s">
        <v>34</v>
      </c>
      <c r="B15" s="50">
        <v>5.0</v>
      </c>
      <c r="C15" s="479" t="s">
        <v>352</v>
      </c>
      <c r="D15" s="50" t="s">
        <v>537</v>
      </c>
      <c r="E15" s="479">
        <v>9.0</v>
      </c>
      <c r="F15" s="479">
        <v>5.0</v>
      </c>
      <c r="G15" s="480" t="s">
        <v>19</v>
      </c>
      <c r="H15" s="402"/>
      <c r="I15" s="409" t="s">
        <v>19</v>
      </c>
    </row>
    <row r="16">
      <c r="A16" s="405" t="s">
        <v>34</v>
      </c>
      <c r="B16" s="409">
        <v>11.0</v>
      </c>
      <c r="C16" s="408" t="s">
        <v>553</v>
      </c>
      <c r="D16" s="409" t="s">
        <v>537</v>
      </c>
      <c r="E16" s="408">
        <v>5.0</v>
      </c>
      <c r="F16" s="408">
        <v>5.0</v>
      </c>
      <c r="G16" s="411" t="s">
        <v>73</v>
      </c>
      <c r="H16" s="402"/>
      <c r="I16" s="409" t="s">
        <v>73</v>
      </c>
    </row>
    <row r="17">
      <c r="A17" s="478" t="s">
        <v>34</v>
      </c>
      <c r="B17" s="50">
        <v>18.0</v>
      </c>
      <c r="C17" s="479" t="s">
        <v>539</v>
      </c>
      <c r="D17" s="50" t="s">
        <v>537</v>
      </c>
      <c r="E17" s="479">
        <v>9.0</v>
      </c>
      <c r="F17" s="479">
        <v>1.0</v>
      </c>
      <c r="G17" s="480" t="s">
        <v>19</v>
      </c>
      <c r="H17" s="402"/>
      <c r="I17" s="409" t="s">
        <v>19</v>
      </c>
    </row>
    <row r="18">
      <c r="A18" s="478" t="s">
        <v>61</v>
      </c>
      <c r="B18" s="50">
        <v>2.0</v>
      </c>
      <c r="C18" s="479" t="s">
        <v>495</v>
      </c>
      <c r="D18" s="50" t="s">
        <v>537</v>
      </c>
      <c r="E18" s="479">
        <v>15.0</v>
      </c>
      <c r="F18" s="479">
        <v>5.0</v>
      </c>
      <c r="G18" s="480" t="s">
        <v>19</v>
      </c>
      <c r="H18" s="402"/>
      <c r="I18" s="409" t="s">
        <v>19</v>
      </c>
    </row>
    <row r="19">
      <c r="A19" s="478" t="s">
        <v>61</v>
      </c>
      <c r="B19" s="50">
        <v>8.0</v>
      </c>
      <c r="C19" s="479" t="s">
        <v>248</v>
      </c>
      <c r="D19" s="50" t="s">
        <v>448</v>
      </c>
      <c r="E19" s="479">
        <v>13.0</v>
      </c>
      <c r="F19" s="479">
        <v>3.0</v>
      </c>
      <c r="G19" s="480" t="s">
        <v>19</v>
      </c>
      <c r="H19" s="402"/>
      <c r="I19" s="409" t="s">
        <v>19</v>
      </c>
    </row>
    <row r="20">
      <c r="A20" s="478" t="s">
        <v>61</v>
      </c>
      <c r="B20" s="50">
        <v>10.0</v>
      </c>
      <c r="C20" s="479" t="s">
        <v>554</v>
      </c>
      <c r="D20" s="50" t="s">
        <v>448</v>
      </c>
      <c r="E20" s="479">
        <v>3.0</v>
      </c>
      <c r="F20" s="479">
        <v>5.0</v>
      </c>
      <c r="G20" s="480" t="s">
        <v>26</v>
      </c>
      <c r="H20" s="402"/>
      <c r="I20" s="409" t="s">
        <v>26</v>
      </c>
    </row>
    <row r="21">
      <c r="A21" s="523" t="s">
        <v>298</v>
      </c>
      <c r="B21" s="524">
        <v>20.0</v>
      </c>
      <c r="C21" s="525" t="s">
        <v>555</v>
      </c>
      <c r="D21" s="524" t="s">
        <v>537</v>
      </c>
      <c r="E21" s="525">
        <v>6.0</v>
      </c>
      <c r="F21" s="525">
        <v>5.0</v>
      </c>
      <c r="G21" s="526" t="s">
        <v>19</v>
      </c>
      <c r="H21" s="402"/>
      <c r="I21" s="16"/>
    </row>
    <row r="22">
      <c r="A22" s="478" t="s">
        <v>68</v>
      </c>
      <c r="B22" s="491">
        <v>27.0</v>
      </c>
      <c r="C22" s="479" t="s">
        <v>352</v>
      </c>
      <c r="D22" s="50" t="s">
        <v>537</v>
      </c>
      <c r="E22" s="479">
        <v>6.0</v>
      </c>
      <c r="F22" s="479">
        <v>7.0</v>
      </c>
      <c r="G22" s="480" t="s">
        <v>26</v>
      </c>
      <c r="H22" s="402"/>
      <c r="I22" s="409" t="s">
        <v>26</v>
      </c>
    </row>
    <row r="23">
      <c r="A23" s="478" t="s">
        <v>68</v>
      </c>
      <c r="B23" s="491">
        <v>28.0</v>
      </c>
      <c r="C23" s="479" t="s">
        <v>550</v>
      </c>
      <c r="D23" s="50" t="s">
        <v>448</v>
      </c>
      <c r="E23" s="479">
        <v>6.0</v>
      </c>
      <c r="F23" s="479">
        <v>9.0</v>
      </c>
      <c r="G23" s="480" t="s">
        <v>26</v>
      </c>
      <c r="H23" s="402"/>
      <c r="I23" s="409" t="s">
        <v>26</v>
      </c>
    </row>
    <row r="24">
      <c r="A24" s="478" t="s">
        <v>74</v>
      </c>
      <c r="B24" s="491">
        <v>3.0</v>
      </c>
      <c r="C24" s="479" t="s">
        <v>543</v>
      </c>
      <c r="D24" s="50" t="s">
        <v>537</v>
      </c>
      <c r="E24" s="479">
        <v>6.0</v>
      </c>
      <c r="F24" s="479">
        <v>5.0</v>
      </c>
      <c r="G24" s="480" t="s">
        <v>19</v>
      </c>
      <c r="H24" s="402"/>
      <c r="I24" s="409" t="s">
        <v>19</v>
      </c>
    </row>
    <row r="25">
      <c r="A25" s="478" t="s">
        <v>74</v>
      </c>
      <c r="B25" s="491">
        <v>4.0</v>
      </c>
      <c r="C25" s="479" t="s">
        <v>554</v>
      </c>
      <c r="D25" s="50" t="s">
        <v>448</v>
      </c>
      <c r="E25" s="479">
        <v>10.0</v>
      </c>
      <c r="F25" s="479">
        <v>4.0</v>
      </c>
      <c r="G25" s="480" t="s">
        <v>19</v>
      </c>
      <c r="H25" s="402"/>
      <c r="I25" s="409" t="s">
        <v>19</v>
      </c>
    </row>
    <row r="26">
      <c r="A26" s="523" t="s">
        <v>382</v>
      </c>
      <c r="B26" s="535">
        <v>10.0</v>
      </c>
      <c r="C26" s="525" t="s">
        <v>499</v>
      </c>
      <c r="D26" s="524" t="s">
        <v>448</v>
      </c>
      <c r="E26" s="525">
        <v>10.0</v>
      </c>
      <c r="F26" s="525">
        <v>6.0</v>
      </c>
      <c r="G26" s="526" t="s">
        <v>19</v>
      </c>
      <c r="H26" s="402"/>
      <c r="I26" s="16"/>
    </row>
    <row r="27">
      <c r="A27" s="478" t="s">
        <v>74</v>
      </c>
      <c r="B27" s="491">
        <v>12.0</v>
      </c>
      <c r="C27" s="381" t="s">
        <v>560</v>
      </c>
      <c r="D27" s="50" t="s">
        <v>448</v>
      </c>
      <c r="E27" s="479">
        <v>13.0</v>
      </c>
      <c r="F27" s="479">
        <v>4.0</v>
      </c>
      <c r="G27" s="480" t="s">
        <v>19</v>
      </c>
      <c r="H27" s="402"/>
      <c r="I27" s="409" t="s">
        <v>19</v>
      </c>
    </row>
    <row r="28">
      <c r="A28" s="405" t="s">
        <v>74</v>
      </c>
      <c r="B28" s="454">
        <v>17.0</v>
      </c>
      <c r="C28" s="255" t="s">
        <v>549</v>
      </c>
      <c r="D28" s="409" t="s">
        <v>537</v>
      </c>
      <c r="E28" s="408">
        <v>13.0</v>
      </c>
      <c r="F28" s="408">
        <v>3.0</v>
      </c>
      <c r="G28" s="411" t="s">
        <v>19</v>
      </c>
      <c r="H28" s="402"/>
      <c r="I28" s="409" t="s">
        <v>19</v>
      </c>
    </row>
    <row r="29">
      <c r="A29" s="523" t="s">
        <v>382</v>
      </c>
      <c r="B29" s="535">
        <v>20.0</v>
      </c>
      <c r="C29" s="525" t="s">
        <v>562</v>
      </c>
      <c r="D29" s="524" t="s">
        <v>448</v>
      </c>
      <c r="E29" s="525">
        <v>6.0</v>
      </c>
      <c r="F29" s="525">
        <v>6.0</v>
      </c>
      <c r="G29" s="526" t="s">
        <v>73</v>
      </c>
      <c r="H29" s="402"/>
      <c r="I29" s="16"/>
    </row>
    <row r="30">
      <c r="A30" s="405" t="s">
        <v>74</v>
      </c>
      <c r="B30" s="454">
        <v>24.0</v>
      </c>
      <c r="C30" s="408" t="s">
        <v>525</v>
      </c>
      <c r="D30" s="409" t="s">
        <v>537</v>
      </c>
      <c r="E30" s="408">
        <v>4.0</v>
      </c>
      <c r="F30" s="408">
        <v>3.0</v>
      </c>
      <c r="G30" s="411" t="s">
        <v>19</v>
      </c>
      <c r="H30" s="402"/>
      <c r="I30" s="409" t="s">
        <v>19</v>
      </c>
    </row>
    <row r="31">
      <c r="A31" s="405" t="s">
        <v>74</v>
      </c>
      <c r="B31" s="454">
        <v>25.0</v>
      </c>
      <c r="C31" s="408" t="s">
        <v>347</v>
      </c>
      <c r="D31" s="409" t="s">
        <v>448</v>
      </c>
      <c r="E31" s="408">
        <v>8.0</v>
      </c>
      <c r="F31" s="408">
        <v>2.0</v>
      </c>
      <c r="G31" s="411" t="s">
        <v>19</v>
      </c>
      <c r="H31" s="402"/>
      <c r="I31" s="409" t="s">
        <v>19</v>
      </c>
    </row>
    <row r="32">
      <c r="A32" s="435" t="s">
        <v>106</v>
      </c>
      <c r="B32" s="468">
        <v>2.0</v>
      </c>
      <c r="C32" s="439" t="s">
        <v>206</v>
      </c>
      <c r="D32" s="438" t="s">
        <v>448</v>
      </c>
      <c r="E32" s="439">
        <v>8.0</v>
      </c>
      <c r="F32" s="439">
        <v>3.0</v>
      </c>
      <c r="G32" s="440" t="s">
        <v>19</v>
      </c>
      <c r="H32" s="402"/>
      <c r="I32" s="409" t="s">
        <v>19</v>
      </c>
    </row>
    <row r="33">
      <c r="A33" s="527"/>
      <c r="B33" s="529"/>
      <c r="C33" s="530"/>
      <c r="D33" s="531"/>
      <c r="E33" s="530"/>
      <c r="F33" s="530"/>
      <c r="G33" s="532"/>
      <c r="H33" s="383"/>
      <c r="I33" s="476"/>
    </row>
    <row r="34">
      <c r="A34" s="434" t="s">
        <v>565</v>
      </c>
      <c r="B34" s="13"/>
      <c r="C34" s="13"/>
      <c r="D34" s="13"/>
      <c r="E34" s="13"/>
      <c r="F34" s="13"/>
      <c r="G34" s="14"/>
      <c r="H34" s="383"/>
      <c r="I34" s="476"/>
    </row>
    <row r="35">
      <c r="A35" s="485" t="s">
        <v>106</v>
      </c>
      <c r="B35" s="486">
        <v>15.0</v>
      </c>
      <c r="C35" s="487" t="s">
        <v>566</v>
      </c>
      <c r="D35" s="488" t="s">
        <v>506</v>
      </c>
      <c r="E35" s="487">
        <v>8.0</v>
      </c>
      <c r="F35" s="487">
        <v>1.0</v>
      </c>
      <c r="G35" s="489" t="s">
        <v>19</v>
      </c>
      <c r="H35" s="528"/>
      <c r="I35" s="409" t="s">
        <v>19</v>
      </c>
    </row>
    <row r="36">
      <c r="A36" s="536" t="s">
        <v>106</v>
      </c>
      <c r="B36" s="537">
        <v>18.0</v>
      </c>
      <c r="C36" s="538" t="s">
        <v>33</v>
      </c>
      <c r="D36" s="539" t="s">
        <v>506</v>
      </c>
      <c r="E36" s="538">
        <v>1.0</v>
      </c>
      <c r="F36" s="538">
        <v>8.0</v>
      </c>
      <c r="G36" s="540" t="s">
        <v>26</v>
      </c>
      <c r="H36" s="528"/>
      <c r="I36" s="409" t="s">
        <v>26</v>
      </c>
    </row>
    <row r="37">
      <c r="A37" s="437" t="s">
        <v>106</v>
      </c>
      <c r="B37" s="468">
        <v>22.0</v>
      </c>
      <c r="C37" s="439" t="s">
        <v>568</v>
      </c>
      <c r="D37" s="438" t="s">
        <v>506</v>
      </c>
      <c r="E37" s="439">
        <v>4.0</v>
      </c>
      <c r="F37" s="439">
        <v>6.0</v>
      </c>
      <c r="G37" s="440" t="s">
        <v>26</v>
      </c>
      <c r="H37" s="528"/>
      <c r="I37" s="409" t="s">
        <v>26</v>
      </c>
    </row>
    <row r="38">
      <c r="A38" s="374" t="s">
        <v>419</v>
      </c>
      <c r="B38" s="132"/>
      <c r="C38" s="132"/>
      <c r="D38" s="375" t="s">
        <v>314</v>
      </c>
      <c r="E38" s="377">
        <f t="shared" ref="E38:F38" si="1">SUM(E8:E37)</f>
        <v>218</v>
      </c>
      <c r="F38" s="377">
        <f t="shared" si="1"/>
        <v>127</v>
      </c>
      <c r="G38" s="378"/>
      <c r="H38" s="383"/>
      <c r="I38" s="476"/>
    </row>
  </sheetData>
  <mergeCells count="3">
    <mergeCell ref="A5:G6"/>
    <mergeCell ref="A34:G34"/>
    <mergeCell ref="A38:C38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40.0"/>
    <col customWidth="1" min="5" max="5" width="4.38"/>
    <col customWidth="1" min="6" max="6" width="3.5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COUNTIF(G5:G31,"W")&amp;"-"&amp;COUNTIF(G5:G31,"L")&amp;"-"&amp;COUNTIF(G5:G31,"T")&amp;"-"&amp;COUNTIF(G5:G31,"OTL")</f>
        <v>16-5-1-0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COUNTIF(I5:I31,"W")&amp;"-"&amp;COUNTIF(I5:I31,"L")&amp;"-"&amp;COUNTIF(I5:I31,"T")&amp;"-"&amp;COUNTIF(I5:I31,"OTL")</f>
        <v>14-4-1-0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557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14.0</v>
      </c>
      <c r="C8" s="521" t="s">
        <v>206</v>
      </c>
      <c r="D8" s="520" t="s">
        <v>448</v>
      </c>
      <c r="E8" s="521">
        <v>8.0</v>
      </c>
      <c r="F8" s="521">
        <v>6.0</v>
      </c>
      <c r="G8" s="522" t="s">
        <v>19</v>
      </c>
      <c r="H8" s="402"/>
      <c r="I8" s="16"/>
    </row>
    <row r="9">
      <c r="A9" s="478" t="s">
        <v>17</v>
      </c>
      <c r="B9" s="50">
        <v>22.0</v>
      </c>
      <c r="C9" s="479" t="s">
        <v>564</v>
      </c>
      <c r="D9" s="50" t="s">
        <v>448</v>
      </c>
      <c r="E9" s="479">
        <v>12.0</v>
      </c>
      <c r="F9" s="479">
        <v>2.0</v>
      </c>
      <c r="G9" s="480" t="s">
        <v>19</v>
      </c>
      <c r="H9" s="383"/>
      <c r="I9" s="447" t="s">
        <v>19</v>
      </c>
    </row>
    <row r="10">
      <c r="A10" s="523" t="s">
        <v>263</v>
      </c>
      <c r="B10" s="524">
        <v>23.0</v>
      </c>
      <c r="C10" s="525" t="s">
        <v>347</v>
      </c>
      <c r="D10" s="524" t="s">
        <v>448</v>
      </c>
      <c r="E10" s="525">
        <v>4.0</v>
      </c>
      <c r="F10" s="525">
        <v>8.0</v>
      </c>
      <c r="G10" s="526" t="s">
        <v>26</v>
      </c>
      <c r="H10" s="402"/>
      <c r="I10" s="16"/>
    </row>
    <row r="11">
      <c r="A11" s="523" t="s">
        <v>263</v>
      </c>
      <c r="B11" s="524">
        <v>25.0</v>
      </c>
      <c r="C11" s="525" t="s">
        <v>495</v>
      </c>
      <c r="D11" s="524" t="s">
        <v>537</v>
      </c>
      <c r="E11" s="525">
        <v>13.0</v>
      </c>
      <c r="F11" s="525">
        <v>2.0</v>
      </c>
      <c r="G11" s="526" t="s">
        <v>19</v>
      </c>
      <c r="H11" s="402"/>
      <c r="I11" s="16"/>
    </row>
    <row r="12">
      <c r="A12" s="405" t="s">
        <v>17</v>
      </c>
      <c r="B12" s="409">
        <v>30.0</v>
      </c>
      <c r="C12" s="408" t="s">
        <v>522</v>
      </c>
      <c r="D12" s="409" t="s">
        <v>537</v>
      </c>
      <c r="E12" s="408">
        <v>3.0</v>
      </c>
      <c r="F12" s="408">
        <v>4.0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10.0</v>
      </c>
      <c r="C13" s="408" t="s">
        <v>347</v>
      </c>
      <c r="D13" s="409" t="s">
        <v>448</v>
      </c>
      <c r="E13" s="408">
        <v>5.0</v>
      </c>
      <c r="F13" s="408">
        <v>7.0</v>
      </c>
      <c r="G13" s="411" t="s">
        <v>26</v>
      </c>
      <c r="H13" s="402"/>
      <c r="I13" s="409" t="s">
        <v>26</v>
      </c>
    </row>
    <row r="14">
      <c r="A14" s="405" t="s">
        <v>34</v>
      </c>
      <c r="B14" s="409">
        <v>12.0</v>
      </c>
      <c r="C14" s="408" t="s">
        <v>517</v>
      </c>
      <c r="D14" s="409" t="s">
        <v>448</v>
      </c>
      <c r="E14" s="408">
        <v>9.0</v>
      </c>
      <c r="F14" s="408">
        <v>0.0</v>
      </c>
      <c r="G14" s="411" t="s">
        <v>19</v>
      </c>
      <c r="H14" s="402"/>
      <c r="I14" s="409" t="s">
        <v>19</v>
      </c>
    </row>
    <row r="15">
      <c r="A15" s="478" t="s">
        <v>34</v>
      </c>
      <c r="B15" s="50">
        <v>18.0</v>
      </c>
      <c r="C15" s="479" t="s">
        <v>206</v>
      </c>
      <c r="D15" s="50" t="s">
        <v>448</v>
      </c>
      <c r="E15" s="479">
        <v>5.0</v>
      </c>
      <c r="F15" s="479">
        <v>7.0</v>
      </c>
      <c r="G15" s="480" t="s">
        <v>26</v>
      </c>
      <c r="H15" s="402"/>
      <c r="I15" s="409" t="s">
        <v>26</v>
      </c>
    </row>
    <row r="16">
      <c r="A16" s="405" t="s">
        <v>34</v>
      </c>
      <c r="B16" s="409">
        <v>19.0</v>
      </c>
      <c r="C16" s="408" t="s">
        <v>474</v>
      </c>
      <c r="D16" s="409" t="s">
        <v>537</v>
      </c>
      <c r="E16" s="408">
        <v>14.0</v>
      </c>
      <c r="F16" s="408">
        <v>1.0</v>
      </c>
      <c r="G16" s="411" t="s">
        <v>19</v>
      </c>
      <c r="H16" s="402"/>
      <c r="I16" s="409" t="s">
        <v>19</v>
      </c>
    </row>
    <row r="17">
      <c r="A17" s="478" t="s">
        <v>61</v>
      </c>
      <c r="B17" s="50">
        <v>3.0</v>
      </c>
      <c r="C17" s="479" t="s">
        <v>495</v>
      </c>
      <c r="D17" s="50" t="s">
        <v>537</v>
      </c>
      <c r="E17" s="479">
        <v>9.0</v>
      </c>
      <c r="F17" s="479">
        <v>5.0</v>
      </c>
      <c r="G17" s="480" t="s">
        <v>19</v>
      </c>
      <c r="H17" s="402"/>
      <c r="I17" s="409" t="s">
        <v>19</v>
      </c>
    </row>
    <row r="18">
      <c r="A18" s="478" t="s">
        <v>520</v>
      </c>
      <c r="B18" s="50">
        <v>4.0</v>
      </c>
      <c r="C18" s="479" t="s">
        <v>567</v>
      </c>
      <c r="D18" s="50" t="s">
        <v>448</v>
      </c>
      <c r="E18" s="479">
        <v>1.0</v>
      </c>
      <c r="F18" s="479">
        <v>3.0</v>
      </c>
      <c r="G18" s="480" t="s">
        <v>19</v>
      </c>
      <c r="H18" s="402"/>
      <c r="I18" s="409" t="s">
        <v>19</v>
      </c>
    </row>
    <row r="19">
      <c r="A19" s="478" t="s">
        <v>520</v>
      </c>
      <c r="B19" s="50">
        <v>8.0</v>
      </c>
      <c r="C19" s="479" t="s">
        <v>569</v>
      </c>
      <c r="D19" s="50" t="s">
        <v>537</v>
      </c>
      <c r="E19" s="479">
        <v>5.0</v>
      </c>
      <c r="F19" s="479">
        <v>6.0</v>
      </c>
      <c r="G19" s="480" t="s">
        <v>19</v>
      </c>
      <c r="H19" s="402"/>
      <c r="I19" s="409" t="s">
        <v>19</v>
      </c>
    </row>
    <row r="20">
      <c r="A20" s="478" t="s">
        <v>61</v>
      </c>
      <c r="B20" s="50">
        <v>11.0</v>
      </c>
      <c r="C20" s="479" t="s">
        <v>554</v>
      </c>
      <c r="D20" s="50" t="s">
        <v>448</v>
      </c>
      <c r="E20" s="479">
        <v>9.0</v>
      </c>
      <c r="F20" s="479">
        <v>1.0</v>
      </c>
      <c r="G20" s="480" t="s">
        <v>19</v>
      </c>
      <c r="H20" s="402"/>
      <c r="I20" s="409" t="s">
        <v>19</v>
      </c>
    </row>
    <row r="21">
      <c r="A21" s="478" t="s">
        <v>68</v>
      </c>
      <c r="B21" s="50">
        <v>21.0</v>
      </c>
      <c r="C21" s="479" t="s">
        <v>543</v>
      </c>
      <c r="D21" s="50" t="s">
        <v>537</v>
      </c>
      <c r="E21" s="479">
        <v>5.0</v>
      </c>
      <c r="F21" s="479">
        <v>5.0</v>
      </c>
      <c r="G21" s="480" t="s">
        <v>73</v>
      </c>
      <c r="H21" s="402"/>
      <c r="I21" s="409" t="s">
        <v>73</v>
      </c>
    </row>
    <row r="22">
      <c r="A22" s="478" t="s">
        <v>68</v>
      </c>
      <c r="B22" s="491">
        <v>22.0</v>
      </c>
      <c r="C22" s="479" t="s">
        <v>570</v>
      </c>
      <c r="D22" s="50" t="s">
        <v>448</v>
      </c>
      <c r="E22" s="479">
        <v>11.0</v>
      </c>
      <c r="F22" s="479">
        <v>5.0</v>
      </c>
      <c r="G22" s="480" t="s">
        <v>19</v>
      </c>
      <c r="H22" s="402"/>
      <c r="I22" s="409" t="s">
        <v>19</v>
      </c>
    </row>
    <row r="23">
      <c r="A23" s="478" t="s">
        <v>68</v>
      </c>
      <c r="B23" s="491">
        <v>28.0</v>
      </c>
      <c r="C23" s="479" t="s">
        <v>365</v>
      </c>
      <c r="D23" s="50" t="s">
        <v>537</v>
      </c>
      <c r="E23" s="479">
        <v>13.0</v>
      </c>
      <c r="F23" s="479">
        <v>1.0</v>
      </c>
      <c r="G23" s="480" t="s">
        <v>19</v>
      </c>
      <c r="H23" s="402"/>
      <c r="I23" s="409" t="s">
        <v>19</v>
      </c>
    </row>
    <row r="24">
      <c r="A24" s="478" t="s">
        <v>74</v>
      </c>
      <c r="B24" s="491">
        <v>4.0</v>
      </c>
      <c r="C24" s="479" t="s">
        <v>338</v>
      </c>
      <c r="D24" s="50" t="s">
        <v>537</v>
      </c>
      <c r="E24" s="479">
        <v>13.0</v>
      </c>
      <c r="F24" s="479">
        <v>3.0</v>
      </c>
      <c r="G24" s="480" t="s">
        <v>19</v>
      </c>
      <c r="H24" s="402"/>
      <c r="I24" s="409" t="s">
        <v>19</v>
      </c>
    </row>
    <row r="25">
      <c r="A25" s="405" t="s">
        <v>74</v>
      </c>
      <c r="B25" s="454">
        <v>11.0</v>
      </c>
      <c r="C25" s="408" t="s">
        <v>352</v>
      </c>
      <c r="D25" s="409" t="s">
        <v>537</v>
      </c>
      <c r="E25" s="408">
        <v>9.0</v>
      </c>
      <c r="F25" s="408">
        <v>1.0</v>
      </c>
      <c r="G25" s="411" t="s">
        <v>19</v>
      </c>
      <c r="H25" s="402"/>
      <c r="I25" s="409" t="s">
        <v>19</v>
      </c>
    </row>
    <row r="26">
      <c r="A26" s="405" t="s">
        <v>74</v>
      </c>
      <c r="B26" s="454">
        <v>15.0</v>
      </c>
      <c r="C26" s="408" t="s">
        <v>266</v>
      </c>
      <c r="D26" s="409" t="s">
        <v>448</v>
      </c>
      <c r="E26" s="408">
        <v>20.0</v>
      </c>
      <c r="F26" s="408">
        <v>0.0</v>
      </c>
      <c r="G26" s="411" t="s">
        <v>19</v>
      </c>
      <c r="H26" s="402"/>
      <c r="I26" s="409" t="s">
        <v>19</v>
      </c>
    </row>
    <row r="27">
      <c r="A27" s="405" t="s">
        <v>74</v>
      </c>
      <c r="B27" s="454">
        <v>18.0</v>
      </c>
      <c r="C27" s="408" t="s">
        <v>494</v>
      </c>
      <c r="D27" s="409" t="s">
        <v>537</v>
      </c>
      <c r="E27" s="408">
        <v>10.0</v>
      </c>
      <c r="F27" s="408">
        <v>1.0</v>
      </c>
      <c r="G27" s="411" t="s">
        <v>19</v>
      </c>
      <c r="H27" s="402"/>
      <c r="I27" s="409" t="s">
        <v>19</v>
      </c>
    </row>
    <row r="28">
      <c r="A28" s="435" t="s">
        <v>74</v>
      </c>
      <c r="B28" s="468">
        <v>19.0</v>
      </c>
      <c r="C28" s="439" t="s">
        <v>248</v>
      </c>
      <c r="D28" s="438" t="s">
        <v>448</v>
      </c>
      <c r="E28" s="439">
        <v>13.0</v>
      </c>
      <c r="F28" s="439">
        <v>3.0</v>
      </c>
      <c r="G28" s="440" t="s">
        <v>19</v>
      </c>
      <c r="H28" s="402"/>
      <c r="I28" s="409" t="s">
        <v>19</v>
      </c>
    </row>
    <row r="29">
      <c r="A29" s="527"/>
      <c r="B29" s="529"/>
      <c r="C29" s="530"/>
      <c r="D29" s="531"/>
      <c r="E29" s="530"/>
      <c r="F29" s="530"/>
      <c r="G29" s="532"/>
      <c r="H29" s="383"/>
      <c r="I29" s="476"/>
    </row>
    <row r="30">
      <c r="A30" s="434" t="s">
        <v>572</v>
      </c>
      <c r="B30" s="13"/>
      <c r="C30" s="13"/>
      <c r="D30" s="13"/>
      <c r="E30" s="13"/>
      <c r="F30" s="13"/>
      <c r="G30" s="14"/>
      <c r="H30" s="383"/>
      <c r="I30" s="476"/>
    </row>
    <row r="31">
      <c r="A31" s="533" t="s">
        <v>106</v>
      </c>
      <c r="B31" s="473">
        <v>2.0</v>
      </c>
      <c r="C31" s="314" t="s">
        <v>15</v>
      </c>
      <c r="D31" s="443" t="s">
        <v>506</v>
      </c>
      <c r="E31" s="314">
        <v>5.0</v>
      </c>
      <c r="F31" s="314">
        <v>8.0</v>
      </c>
      <c r="G31" s="444" t="s">
        <v>26</v>
      </c>
      <c r="H31" s="528"/>
      <c r="I31" s="409" t="s">
        <v>26</v>
      </c>
    </row>
    <row r="32">
      <c r="A32" s="374" t="s">
        <v>312</v>
      </c>
      <c r="B32" s="132"/>
      <c r="C32" s="132"/>
      <c r="D32" s="375" t="s">
        <v>314</v>
      </c>
      <c r="E32" s="377">
        <f t="shared" ref="E32:F32" si="1">SUM(E8:E31)</f>
        <v>196</v>
      </c>
      <c r="F32" s="377">
        <f t="shared" si="1"/>
        <v>79</v>
      </c>
      <c r="G32" s="378"/>
      <c r="H32" s="383"/>
      <c r="I32" s="476"/>
    </row>
  </sheetData>
  <mergeCells count="3">
    <mergeCell ref="A5:G6"/>
    <mergeCell ref="A30:G30"/>
    <mergeCell ref="A32:C32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40.0"/>
    <col customWidth="1" min="5" max="5" width="4.38"/>
    <col customWidth="1" min="6" max="6" width="3.5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COUNTIF(G5:G30,"W")&amp;"-"&amp;COUNTIF(G5:G30,"L")&amp;"-"&amp;COUNTIF(G5:G30,"T")&amp;"-"&amp;COUNTIF(G5:G30,"OTL")</f>
        <v>12-8-1-0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COUNTIF(I5:I30,"W")&amp;"-"&amp;COUNTIF(I5:I30,"L")&amp;"-"&amp;COUNTIF(I5:I30,"T")&amp;"-"&amp;COUNTIF(I5:I30,"OTL")</f>
        <v>11-7-1-0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559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23.0</v>
      </c>
      <c r="C8" s="521" t="s">
        <v>358</v>
      </c>
      <c r="D8" s="520" t="s">
        <v>537</v>
      </c>
      <c r="E8" s="521">
        <v>11.0</v>
      </c>
      <c r="F8" s="521">
        <v>5.0</v>
      </c>
      <c r="G8" s="522" t="s">
        <v>19</v>
      </c>
      <c r="H8" s="402"/>
      <c r="I8" s="16"/>
    </row>
    <row r="9">
      <c r="A9" s="523" t="s">
        <v>263</v>
      </c>
      <c r="B9" s="524">
        <v>31.0</v>
      </c>
      <c r="C9" s="525" t="s">
        <v>544</v>
      </c>
      <c r="D9" s="524" t="s">
        <v>448</v>
      </c>
      <c r="E9" s="525">
        <v>3.0</v>
      </c>
      <c r="F9" s="525">
        <v>5.0</v>
      </c>
      <c r="G9" s="526" t="s">
        <v>26</v>
      </c>
      <c r="H9" s="383"/>
      <c r="I9" s="476"/>
    </row>
    <row r="10">
      <c r="A10" s="478" t="s">
        <v>34</v>
      </c>
      <c r="B10" s="50">
        <v>1.0</v>
      </c>
      <c r="C10" s="479" t="s">
        <v>544</v>
      </c>
      <c r="D10" s="50" t="s">
        <v>448</v>
      </c>
      <c r="E10" s="479">
        <v>4.0</v>
      </c>
      <c r="F10" s="479">
        <v>6.0</v>
      </c>
      <c r="G10" s="480" t="s">
        <v>26</v>
      </c>
      <c r="H10" s="402"/>
      <c r="I10" s="409" t="s">
        <v>26</v>
      </c>
    </row>
    <row r="11">
      <c r="A11" s="405" t="s">
        <v>34</v>
      </c>
      <c r="B11" s="409">
        <v>7.0</v>
      </c>
      <c r="C11" s="408" t="s">
        <v>504</v>
      </c>
      <c r="D11" s="409" t="s">
        <v>537</v>
      </c>
      <c r="E11" s="408">
        <v>13.0</v>
      </c>
      <c r="F11" s="408">
        <v>1.0</v>
      </c>
      <c r="G11" s="411" t="s">
        <v>19</v>
      </c>
      <c r="H11" s="402"/>
      <c r="I11" s="409" t="s">
        <v>19</v>
      </c>
    </row>
    <row r="12">
      <c r="A12" s="405" t="s">
        <v>34</v>
      </c>
      <c r="B12" s="409">
        <v>13.0</v>
      </c>
      <c r="C12" s="408" t="s">
        <v>370</v>
      </c>
      <c r="D12" s="409" t="s">
        <v>537</v>
      </c>
      <c r="E12" s="408">
        <v>14.0</v>
      </c>
      <c r="F12" s="408">
        <v>4.0</v>
      </c>
      <c r="G12" s="411" t="s">
        <v>19</v>
      </c>
      <c r="H12" s="402"/>
      <c r="I12" s="409" t="s">
        <v>19</v>
      </c>
    </row>
    <row r="13">
      <c r="A13" s="405" t="s">
        <v>34</v>
      </c>
      <c r="B13" s="409">
        <v>14.0</v>
      </c>
      <c r="C13" s="408" t="s">
        <v>248</v>
      </c>
      <c r="D13" s="409" t="s">
        <v>448</v>
      </c>
      <c r="E13" s="408">
        <v>8.0</v>
      </c>
      <c r="F13" s="408">
        <v>3.0</v>
      </c>
      <c r="G13" s="411" t="s">
        <v>19</v>
      </c>
      <c r="H13" s="402"/>
      <c r="I13" s="409" t="s">
        <v>19</v>
      </c>
    </row>
    <row r="14">
      <c r="A14" s="405" t="s">
        <v>34</v>
      </c>
      <c r="B14" s="409">
        <v>21.0</v>
      </c>
      <c r="C14" s="408" t="s">
        <v>352</v>
      </c>
      <c r="D14" s="409" t="s">
        <v>537</v>
      </c>
      <c r="E14" s="408">
        <v>7.0</v>
      </c>
      <c r="F14" s="408">
        <v>2.0</v>
      </c>
      <c r="G14" s="411" t="s">
        <v>19</v>
      </c>
      <c r="H14" s="402"/>
      <c r="I14" s="409" t="s">
        <v>19</v>
      </c>
    </row>
    <row r="15">
      <c r="A15" s="478" t="s">
        <v>34</v>
      </c>
      <c r="B15" s="50">
        <v>22.0</v>
      </c>
      <c r="C15" s="479" t="s">
        <v>497</v>
      </c>
      <c r="D15" s="50" t="s">
        <v>537</v>
      </c>
      <c r="E15" s="479">
        <v>10.0</v>
      </c>
      <c r="F15" s="479">
        <v>0.0</v>
      </c>
      <c r="G15" s="480" t="s">
        <v>19</v>
      </c>
      <c r="H15" s="402"/>
      <c r="I15" s="409" t="s">
        <v>19</v>
      </c>
    </row>
    <row r="16">
      <c r="A16" s="405" t="s">
        <v>61</v>
      </c>
      <c r="B16" s="409">
        <v>4.0</v>
      </c>
      <c r="C16" s="408" t="s">
        <v>206</v>
      </c>
      <c r="D16" s="409" t="s">
        <v>448</v>
      </c>
      <c r="E16" s="408">
        <v>4.0</v>
      </c>
      <c r="F16" s="408">
        <v>5.0</v>
      </c>
      <c r="G16" s="411" t="s">
        <v>26</v>
      </c>
      <c r="H16" s="402"/>
      <c r="I16" s="409" t="s">
        <v>26</v>
      </c>
    </row>
    <row r="17">
      <c r="A17" s="478" t="s">
        <v>61</v>
      </c>
      <c r="B17" s="50">
        <v>5.0</v>
      </c>
      <c r="C17" s="479" t="s">
        <v>550</v>
      </c>
      <c r="D17" s="50" t="s">
        <v>448</v>
      </c>
      <c r="E17" s="479">
        <v>0.0</v>
      </c>
      <c r="F17" s="479">
        <v>7.0</v>
      </c>
      <c r="G17" s="480" t="s">
        <v>26</v>
      </c>
      <c r="H17" s="402"/>
      <c r="I17" s="409" t="s">
        <v>26</v>
      </c>
    </row>
    <row r="18">
      <c r="A18" s="478" t="s">
        <v>68</v>
      </c>
      <c r="B18" s="50">
        <v>18.0</v>
      </c>
      <c r="C18" s="479" t="s">
        <v>519</v>
      </c>
      <c r="D18" s="50" t="s">
        <v>448</v>
      </c>
      <c r="E18" s="479">
        <v>10.0</v>
      </c>
      <c r="F18" s="479">
        <v>0.0</v>
      </c>
      <c r="G18" s="480" t="s">
        <v>19</v>
      </c>
      <c r="H18" s="402"/>
      <c r="I18" s="409" t="s">
        <v>19</v>
      </c>
    </row>
    <row r="19">
      <c r="A19" s="478" t="s">
        <v>68</v>
      </c>
      <c r="B19" s="50">
        <v>22.0</v>
      </c>
      <c r="C19" s="479" t="s">
        <v>213</v>
      </c>
      <c r="D19" s="50" t="s">
        <v>448</v>
      </c>
      <c r="E19" s="479">
        <v>11.0</v>
      </c>
      <c r="F19" s="479">
        <v>1.0</v>
      </c>
      <c r="G19" s="480" t="s">
        <v>19</v>
      </c>
      <c r="H19" s="402"/>
      <c r="I19" s="409" t="s">
        <v>19</v>
      </c>
    </row>
    <row r="20">
      <c r="A20" s="478" t="s">
        <v>68</v>
      </c>
      <c r="B20" s="50">
        <v>23.0</v>
      </c>
      <c r="C20" s="479" t="s">
        <v>517</v>
      </c>
      <c r="D20" s="50" t="s">
        <v>448</v>
      </c>
      <c r="E20" s="479">
        <v>6.0</v>
      </c>
      <c r="F20" s="479">
        <v>4.0</v>
      </c>
      <c r="G20" s="480" t="s">
        <v>19</v>
      </c>
      <c r="H20" s="402"/>
      <c r="I20" s="409" t="s">
        <v>19</v>
      </c>
    </row>
    <row r="21">
      <c r="A21" s="478" t="s">
        <v>68</v>
      </c>
      <c r="B21" s="50">
        <v>30.0</v>
      </c>
      <c r="C21" s="479" t="s">
        <v>361</v>
      </c>
      <c r="D21" s="50" t="s">
        <v>537</v>
      </c>
      <c r="E21" s="479">
        <v>4.0</v>
      </c>
      <c r="F21" s="479">
        <v>8.0</v>
      </c>
      <c r="G21" s="480" t="s">
        <v>26</v>
      </c>
      <c r="H21" s="402"/>
      <c r="I21" s="409" t="s">
        <v>26</v>
      </c>
    </row>
    <row r="22">
      <c r="A22" s="478" t="s">
        <v>74</v>
      </c>
      <c r="B22" s="491">
        <v>6.0</v>
      </c>
      <c r="C22" s="479" t="s">
        <v>522</v>
      </c>
      <c r="D22" s="50" t="s">
        <v>537</v>
      </c>
      <c r="E22" s="479">
        <v>3.0</v>
      </c>
      <c r="F22" s="479">
        <v>1.0</v>
      </c>
      <c r="G22" s="480" t="s">
        <v>19</v>
      </c>
      <c r="H22" s="402"/>
      <c r="I22" s="409" t="s">
        <v>19</v>
      </c>
    </row>
    <row r="23">
      <c r="A23" s="478" t="s">
        <v>74</v>
      </c>
      <c r="B23" s="491">
        <v>13.0</v>
      </c>
      <c r="C23" s="479" t="s">
        <v>517</v>
      </c>
      <c r="D23" s="50" t="s">
        <v>448</v>
      </c>
      <c r="E23" s="479">
        <v>12.0</v>
      </c>
      <c r="F23" s="479">
        <v>4.0</v>
      </c>
      <c r="G23" s="480" t="s">
        <v>19</v>
      </c>
      <c r="H23" s="402"/>
      <c r="I23" s="409" t="s">
        <v>19</v>
      </c>
    </row>
    <row r="24">
      <c r="A24" s="478" t="s">
        <v>74</v>
      </c>
      <c r="B24" s="491">
        <v>20.0</v>
      </c>
      <c r="C24" s="479" t="s">
        <v>494</v>
      </c>
      <c r="D24" s="50" t="s">
        <v>537</v>
      </c>
      <c r="E24" s="479">
        <v>13.0</v>
      </c>
      <c r="F24" s="479">
        <v>2.0</v>
      </c>
      <c r="G24" s="480" t="s">
        <v>19</v>
      </c>
      <c r="H24" s="402"/>
      <c r="I24" s="409" t="s">
        <v>19</v>
      </c>
    </row>
    <row r="25">
      <c r="A25" s="405" t="s">
        <v>74</v>
      </c>
      <c r="B25" s="454">
        <v>21.0</v>
      </c>
      <c r="C25" s="408" t="s">
        <v>554</v>
      </c>
      <c r="D25" s="409" t="s">
        <v>448</v>
      </c>
      <c r="E25" s="408">
        <v>6.0</v>
      </c>
      <c r="F25" s="408">
        <v>14.0</v>
      </c>
      <c r="G25" s="411" t="s">
        <v>26</v>
      </c>
      <c r="H25" s="402"/>
      <c r="I25" s="409" t="s">
        <v>26</v>
      </c>
    </row>
    <row r="26">
      <c r="A26" s="405" t="s">
        <v>74</v>
      </c>
      <c r="B26" s="454">
        <v>26.0</v>
      </c>
      <c r="C26" s="408" t="s">
        <v>338</v>
      </c>
      <c r="D26" s="409" t="s">
        <v>537</v>
      </c>
      <c r="E26" s="408">
        <v>5.0</v>
      </c>
      <c r="F26" s="408">
        <v>6.0</v>
      </c>
      <c r="G26" s="411" t="s">
        <v>26</v>
      </c>
      <c r="H26" s="402"/>
      <c r="I26" s="409" t="s">
        <v>26</v>
      </c>
    </row>
    <row r="27">
      <c r="A27" s="435" t="s">
        <v>74</v>
      </c>
      <c r="B27" s="468">
        <v>27.0</v>
      </c>
      <c r="C27" s="439" t="s">
        <v>474</v>
      </c>
      <c r="D27" s="438" t="s">
        <v>537</v>
      </c>
      <c r="E27" s="439">
        <v>6.0</v>
      </c>
      <c r="F27" s="439">
        <v>6.0</v>
      </c>
      <c r="G27" s="440" t="s">
        <v>73</v>
      </c>
      <c r="H27" s="402"/>
      <c r="I27" s="409" t="s">
        <v>73</v>
      </c>
    </row>
    <row r="28">
      <c r="A28" s="527"/>
      <c r="B28" s="529"/>
      <c r="C28" s="530"/>
      <c r="D28" s="531"/>
      <c r="E28" s="530"/>
      <c r="F28" s="530"/>
      <c r="G28" s="532"/>
      <c r="H28" s="383"/>
      <c r="I28" s="476"/>
    </row>
    <row r="29">
      <c r="A29" s="434" t="s">
        <v>571</v>
      </c>
      <c r="B29" s="13"/>
      <c r="C29" s="13"/>
      <c r="D29" s="13"/>
      <c r="E29" s="13"/>
      <c r="F29" s="13"/>
      <c r="G29" s="14"/>
      <c r="H29" s="383"/>
      <c r="I29" s="476"/>
    </row>
    <row r="30">
      <c r="A30" s="533" t="s">
        <v>106</v>
      </c>
      <c r="B30" s="473">
        <v>7.0</v>
      </c>
      <c r="C30" s="314" t="s">
        <v>33</v>
      </c>
      <c r="D30" s="443" t="s">
        <v>506</v>
      </c>
      <c r="E30" s="314">
        <v>6.0</v>
      </c>
      <c r="F30" s="314">
        <v>10.0</v>
      </c>
      <c r="G30" s="444" t="s">
        <v>26</v>
      </c>
      <c r="H30" s="528"/>
      <c r="I30" s="409" t="s">
        <v>26</v>
      </c>
    </row>
    <row r="31">
      <c r="A31" s="374" t="s">
        <v>419</v>
      </c>
      <c r="B31" s="132"/>
      <c r="C31" s="132"/>
      <c r="D31" s="375" t="s">
        <v>314</v>
      </c>
      <c r="E31" s="377">
        <f t="shared" ref="E31:F31" si="1">SUM(E7:E30)</f>
        <v>156</v>
      </c>
      <c r="F31" s="377">
        <f t="shared" si="1"/>
        <v>94</v>
      </c>
      <c r="G31" s="378"/>
      <c r="H31" s="383"/>
      <c r="I31" s="476"/>
    </row>
  </sheetData>
  <mergeCells count="3">
    <mergeCell ref="A5:G6"/>
    <mergeCell ref="A29:G29"/>
    <mergeCell ref="A31:C31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7.88"/>
    <col customWidth="1" min="5" max="5" width="5.38"/>
    <col customWidth="1" min="6" max="6" width="5.13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COUNTIF(G5:G32,"W")&amp;"-"&amp;COUNTIF(G5:G32,"L")&amp;"-"&amp;COUNTIF(G5:G32,"T")&amp;"-"&amp;COUNTIF(G5:G32,"OTL")</f>
        <v>11-11-1-0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COUNTIF(I5:I32,"W")&amp;"-"&amp;COUNTIF(I5:I32,"L")&amp;"-"&amp;COUNTIF(I5:I32,"T")&amp;"-"&amp;COUNTIF(I5:I32,"OTL")</f>
        <v>10-8-1-0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574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26.0</v>
      </c>
      <c r="C8" s="521" t="s">
        <v>421</v>
      </c>
      <c r="D8" s="520" t="s">
        <v>448</v>
      </c>
      <c r="E8" s="521">
        <v>9.0</v>
      </c>
      <c r="F8" s="521">
        <v>7.0</v>
      </c>
      <c r="G8" s="522" t="s">
        <v>19</v>
      </c>
      <c r="H8" s="402"/>
      <c r="I8" s="16"/>
    </row>
    <row r="9">
      <c r="A9" s="478" t="s">
        <v>34</v>
      </c>
      <c r="B9" s="50">
        <v>1.0</v>
      </c>
      <c r="C9" s="479" t="s">
        <v>504</v>
      </c>
      <c r="D9" s="50" t="s">
        <v>537</v>
      </c>
      <c r="E9" s="479">
        <v>17.0</v>
      </c>
      <c r="F9" s="479">
        <v>6.0</v>
      </c>
      <c r="G9" s="480" t="s">
        <v>19</v>
      </c>
      <c r="H9" s="383"/>
      <c r="I9" s="447" t="s">
        <v>19</v>
      </c>
    </row>
    <row r="10">
      <c r="A10" s="523" t="s">
        <v>277</v>
      </c>
      <c r="B10" s="524">
        <v>4.0</v>
      </c>
      <c r="C10" s="525" t="s">
        <v>515</v>
      </c>
      <c r="D10" s="524" t="s">
        <v>448</v>
      </c>
      <c r="E10" s="525">
        <v>8.0</v>
      </c>
      <c r="F10" s="525">
        <v>10.0</v>
      </c>
      <c r="G10" s="526" t="s">
        <v>26</v>
      </c>
      <c r="H10" s="402"/>
      <c r="I10" s="16"/>
    </row>
    <row r="11">
      <c r="A11" s="523" t="s">
        <v>277</v>
      </c>
      <c r="B11" s="524">
        <v>5.0</v>
      </c>
      <c r="C11" s="525" t="s">
        <v>577</v>
      </c>
      <c r="D11" s="524" t="s">
        <v>448</v>
      </c>
      <c r="E11" s="525">
        <v>2.0</v>
      </c>
      <c r="F11" s="525">
        <v>18.0</v>
      </c>
      <c r="G11" s="526" t="s">
        <v>26</v>
      </c>
      <c r="H11" s="402"/>
      <c r="I11" s="16"/>
    </row>
    <row r="12">
      <c r="A12" s="405" t="s">
        <v>34</v>
      </c>
      <c r="B12" s="409">
        <v>6.0</v>
      </c>
      <c r="C12" s="408" t="s">
        <v>475</v>
      </c>
      <c r="D12" s="409" t="s">
        <v>448</v>
      </c>
      <c r="E12" s="408">
        <v>6.0</v>
      </c>
      <c r="F12" s="408">
        <v>7.0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12.0</v>
      </c>
      <c r="C13" s="408" t="s">
        <v>206</v>
      </c>
      <c r="D13" s="409" t="s">
        <v>448</v>
      </c>
      <c r="E13" s="408">
        <v>11.0</v>
      </c>
      <c r="F13" s="408">
        <v>6.0</v>
      </c>
      <c r="G13" s="411" t="s">
        <v>19</v>
      </c>
      <c r="H13" s="402"/>
      <c r="I13" s="409" t="s">
        <v>19</v>
      </c>
    </row>
    <row r="14">
      <c r="A14" s="405" t="s">
        <v>34</v>
      </c>
      <c r="B14" s="409">
        <v>15.0</v>
      </c>
      <c r="C14" s="408" t="s">
        <v>358</v>
      </c>
      <c r="D14" s="409" t="s">
        <v>537</v>
      </c>
      <c r="E14" s="408">
        <v>12.0</v>
      </c>
      <c r="F14" s="408">
        <v>4.0</v>
      </c>
      <c r="G14" s="411" t="s">
        <v>19</v>
      </c>
      <c r="H14" s="402"/>
      <c r="I14" s="409" t="s">
        <v>19</v>
      </c>
    </row>
    <row r="15">
      <c r="A15" s="478" t="s">
        <v>34</v>
      </c>
      <c r="B15" s="50">
        <v>22.0</v>
      </c>
      <c r="C15" s="479" t="s">
        <v>525</v>
      </c>
      <c r="D15" s="50" t="s">
        <v>537</v>
      </c>
      <c r="E15" s="479">
        <v>5.0</v>
      </c>
      <c r="F15" s="479">
        <v>8.0</v>
      </c>
      <c r="G15" s="480" t="s">
        <v>26</v>
      </c>
      <c r="H15" s="402"/>
      <c r="I15" s="409" t="s">
        <v>26</v>
      </c>
    </row>
    <row r="16">
      <c r="A16" s="405" t="s">
        <v>61</v>
      </c>
      <c r="B16" s="409">
        <v>6.0</v>
      </c>
      <c r="C16" s="408" t="s">
        <v>550</v>
      </c>
      <c r="D16" s="409" t="s">
        <v>448</v>
      </c>
      <c r="E16" s="408">
        <v>5.0</v>
      </c>
      <c r="F16" s="408">
        <v>11.0</v>
      </c>
      <c r="G16" s="411" t="s">
        <v>26</v>
      </c>
      <c r="H16" s="402"/>
      <c r="I16" s="409" t="s">
        <v>26</v>
      </c>
    </row>
    <row r="17">
      <c r="A17" s="478" t="s">
        <v>61</v>
      </c>
      <c r="B17" s="50">
        <v>11.0</v>
      </c>
      <c r="C17" s="479" t="s">
        <v>580</v>
      </c>
      <c r="D17" s="50" t="s">
        <v>506</v>
      </c>
      <c r="E17" s="479">
        <v>3.0</v>
      </c>
      <c r="F17" s="479">
        <v>7.0</v>
      </c>
      <c r="G17" s="480" t="s">
        <v>26</v>
      </c>
      <c r="H17" s="402"/>
      <c r="I17" s="409" t="s">
        <v>26</v>
      </c>
    </row>
    <row r="18">
      <c r="A18" s="478" t="s">
        <v>61</v>
      </c>
      <c r="B18" s="50">
        <v>12.0</v>
      </c>
      <c r="C18" s="479" t="s">
        <v>319</v>
      </c>
      <c r="D18" s="50" t="s">
        <v>448</v>
      </c>
      <c r="E18" s="479">
        <v>5.0</v>
      </c>
      <c r="F18" s="479">
        <v>9.0</v>
      </c>
      <c r="G18" s="480" t="s">
        <v>26</v>
      </c>
      <c r="H18" s="402"/>
      <c r="I18" s="409" t="s">
        <v>26</v>
      </c>
    </row>
    <row r="19">
      <c r="A19" s="478" t="s">
        <v>68</v>
      </c>
      <c r="B19" s="50">
        <v>24.0</v>
      </c>
      <c r="C19" s="479" t="s">
        <v>515</v>
      </c>
      <c r="D19" s="50" t="s">
        <v>448</v>
      </c>
      <c r="E19" s="479">
        <v>6.0</v>
      </c>
      <c r="F19" s="479">
        <v>4.0</v>
      </c>
      <c r="G19" s="480" t="s">
        <v>19</v>
      </c>
      <c r="H19" s="402"/>
      <c r="I19" s="409" t="s">
        <v>19</v>
      </c>
    </row>
    <row r="20">
      <c r="A20" s="478" t="s">
        <v>68</v>
      </c>
      <c r="B20" s="50">
        <v>31.0</v>
      </c>
      <c r="C20" s="479" t="s">
        <v>361</v>
      </c>
      <c r="D20" s="50" t="s">
        <v>537</v>
      </c>
      <c r="E20" s="479">
        <v>6.0</v>
      </c>
      <c r="F20" s="479">
        <v>8.0</v>
      </c>
      <c r="G20" s="480" t="s">
        <v>26</v>
      </c>
      <c r="H20" s="402"/>
      <c r="I20" s="409" t="s">
        <v>26</v>
      </c>
    </row>
    <row r="21">
      <c r="A21" s="478" t="s">
        <v>74</v>
      </c>
      <c r="B21" s="50">
        <v>7.0</v>
      </c>
      <c r="C21" s="479" t="s">
        <v>370</v>
      </c>
      <c r="D21" s="50" t="s">
        <v>537</v>
      </c>
      <c r="E21" s="479">
        <v>15.0</v>
      </c>
      <c r="F21" s="479">
        <v>10.0</v>
      </c>
      <c r="G21" s="480" t="s">
        <v>19</v>
      </c>
      <c r="H21" s="402"/>
      <c r="I21" s="409" t="s">
        <v>19</v>
      </c>
    </row>
    <row r="22">
      <c r="A22" s="478" t="s">
        <v>74</v>
      </c>
      <c r="B22" s="491">
        <v>11.0</v>
      </c>
      <c r="C22" s="479" t="s">
        <v>266</v>
      </c>
      <c r="D22" s="50" t="s">
        <v>448</v>
      </c>
      <c r="E22" s="479">
        <v>11.0</v>
      </c>
      <c r="F22" s="479">
        <v>8.0</v>
      </c>
      <c r="G22" s="480" t="s">
        <v>19</v>
      </c>
      <c r="H22" s="402"/>
      <c r="I22" s="409" t="s">
        <v>19</v>
      </c>
    </row>
    <row r="23">
      <c r="A23" s="478" t="s">
        <v>74</v>
      </c>
      <c r="B23" s="491">
        <v>14.0</v>
      </c>
      <c r="C23" s="479" t="s">
        <v>539</v>
      </c>
      <c r="D23" s="50" t="s">
        <v>537</v>
      </c>
      <c r="E23" s="479">
        <v>6.0</v>
      </c>
      <c r="F23" s="479">
        <v>7.0</v>
      </c>
      <c r="G23" s="480" t="s">
        <v>26</v>
      </c>
      <c r="H23" s="402"/>
      <c r="I23" s="409" t="s">
        <v>26</v>
      </c>
    </row>
    <row r="24">
      <c r="A24" s="478" t="s">
        <v>74</v>
      </c>
      <c r="B24" s="491">
        <v>18.0</v>
      </c>
      <c r="C24" s="479" t="s">
        <v>517</v>
      </c>
      <c r="D24" s="50" t="s">
        <v>448</v>
      </c>
      <c r="E24" s="479">
        <v>14.0</v>
      </c>
      <c r="F24" s="479">
        <v>2.0</v>
      </c>
      <c r="G24" s="480" t="s">
        <v>19</v>
      </c>
      <c r="H24" s="402"/>
      <c r="I24" s="409" t="s">
        <v>19</v>
      </c>
    </row>
    <row r="25">
      <c r="A25" s="405" t="s">
        <v>74</v>
      </c>
      <c r="B25" s="454">
        <v>21.0</v>
      </c>
      <c r="C25" s="408" t="s">
        <v>338</v>
      </c>
      <c r="D25" s="409" t="s">
        <v>537</v>
      </c>
      <c r="E25" s="408">
        <v>7.0</v>
      </c>
      <c r="F25" s="408">
        <v>6.0</v>
      </c>
      <c r="G25" s="411" t="s">
        <v>19</v>
      </c>
      <c r="H25" s="402"/>
      <c r="I25" s="409" t="s">
        <v>19</v>
      </c>
    </row>
    <row r="26">
      <c r="A26" s="405" t="s">
        <v>74</v>
      </c>
      <c r="B26" s="454">
        <v>24.0</v>
      </c>
      <c r="C26" s="408" t="s">
        <v>474</v>
      </c>
      <c r="D26" s="409" t="s">
        <v>537</v>
      </c>
      <c r="E26" s="408">
        <v>10.0</v>
      </c>
      <c r="F26" s="408">
        <v>10.0</v>
      </c>
      <c r="G26" s="411" t="s">
        <v>73</v>
      </c>
      <c r="H26" s="402"/>
      <c r="I26" s="409" t="s">
        <v>73</v>
      </c>
    </row>
    <row r="27">
      <c r="A27" s="523" t="s">
        <v>382</v>
      </c>
      <c r="B27" s="535">
        <v>25.0</v>
      </c>
      <c r="C27" s="525" t="s">
        <v>587</v>
      </c>
      <c r="D27" s="524" t="s">
        <v>448</v>
      </c>
      <c r="E27" s="525">
        <v>4.0</v>
      </c>
      <c r="F27" s="525">
        <v>8.0</v>
      </c>
      <c r="G27" s="526" t="s">
        <v>26</v>
      </c>
      <c r="H27" s="402"/>
      <c r="I27" s="16"/>
    </row>
    <row r="28">
      <c r="A28" s="435" t="s">
        <v>74</v>
      </c>
      <c r="B28" s="468">
        <v>28.0</v>
      </c>
      <c r="C28" s="439" t="s">
        <v>522</v>
      </c>
      <c r="D28" s="438" t="s">
        <v>537</v>
      </c>
      <c r="E28" s="439">
        <v>6.0</v>
      </c>
      <c r="F28" s="439">
        <v>2.0</v>
      </c>
      <c r="G28" s="440" t="s">
        <v>19</v>
      </c>
      <c r="H28" s="402"/>
      <c r="I28" s="409" t="s">
        <v>19</v>
      </c>
    </row>
    <row r="29">
      <c r="A29" s="527"/>
      <c r="B29" s="529"/>
      <c r="C29" s="530"/>
      <c r="D29" s="531"/>
      <c r="E29" s="530"/>
      <c r="F29" s="530"/>
      <c r="G29" s="532"/>
      <c r="H29" s="383"/>
      <c r="I29" s="476"/>
    </row>
    <row r="30">
      <c r="A30" s="434" t="s">
        <v>590</v>
      </c>
      <c r="B30" s="13"/>
      <c r="C30" s="13"/>
      <c r="D30" s="13"/>
      <c r="E30" s="13"/>
      <c r="F30" s="13"/>
      <c r="G30" s="14"/>
      <c r="H30" s="383"/>
      <c r="I30" s="476"/>
    </row>
    <row r="31">
      <c r="A31" s="485" t="s">
        <v>106</v>
      </c>
      <c r="B31" s="486">
        <v>3.0</v>
      </c>
      <c r="C31" s="487" t="s">
        <v>591</v>
      </c>
      <c r="D31" s="488" t="s">
        <v>506</v>
      </c>
      <c r="E31" s="487">
        <v>7.0</v>
      </c>
      <c r="F31" s="487">
        <v>6.0</v>
      </c>
      <c r="G31" s="489" t="s">
        <v>19</v>
      </c>
      <c r="H31" s="528"/>
      <c r="I31" s="409" t="s">
        <v>19</v>
      </c>
    </row>
    <row r="32">
      <c r="A32" s="437" t="s">
        <v>106</v>
      </c>
      <c r="B32" s="468">
        <v>8.0</v>
      </c>
      <c r="C32" s="439" t="s">
        <v>588</v>
      </c>
      <c r="D32" s="438" t="s">
        <v>506</v>
      </c>
      <c r="E32" s="439">
        <v>4.0</v>
      </c>
      <c r="F32" s="439">
        <v>8.0</v>
      </c>
      <c r="G32" s="440" t="s">
        <v>26</v>
      </c>
      <c r="H32" s="528"/>
      <c r="I32" s="409" t="s">
        <v>26</v>
      </c>
    </row>
    <row r="33">
      <c r="A33" s="374" t="s">
        <v>419</v>
      </c>
      <c r="B33" s="132"/>
      <c r="C33" s="132"/>
      <c r="D33" s="375" t="s">
        <v>314</v>
      </c>
      <c r="E33" s="377">
        <f t="shared" ref="E33:F33" si="1">SUM(E8:E32)</f>
        <v>179</v>
      </c>
      <c r="F33" s="377">
        <f t="shared" si="1"/>
        <v>172</v>
      </c>
      <c r="G33" s="378"/>
      <c r="H33" s="383"/>
      <c r="I33" s="476"/>
    </row>
  </sheetData>
  <mergeCells count="3">
    <mergeCell ref="A5:G6"/>
    <mergeCell ref="A30:G30"/>
    <mergeCell ref="A33:C33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8.13"/>
    <col customWidth="1" min="4" max="4" width="39.63"/>
    <col customWidth="1" min="5" max="5" width="4.38"/>
    <col customWidth="1" min="6" max="6" width="4.5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COUNTIF(G5:G26,"W")&amp;"-"&amp;COUNTIF(G5:G26,"L")&amp;"-"&amp;COUNTIF(G5:G26,"T")&amp;"-"&amp;COUNTIF(G5:G26,"OTL")</f>
        <v>13-4-2-0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COUNTIF(I5:I26,"W")&amp;"-"&amp;COUNTIF(I5:I26,"L")&amp;"-"&amp;COUNTIF(I5:I26,"T")&amp;"-"&amp;COUNTIF(I5:I26,"OTL")</f>
        <v>13-3-2-0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573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0" t="s">
        <v>34</v>
      </c>
      <c r="B8" s="511">
        <v>1.0</v>
      </c>
      <c r="C8" s="512" t="s">
        <v>370</v>
      </c>
      <c r="D8" s="511" t="s">
        <v>537</v>
      </c>
      <c r="E8" s="512">
        <v>5.0</v>
      </c>
      <c r="F8" s="512">
        <v>4.0</v>
      </c>
      <c r="G8" s="513" t="s">
        <v>19</v>
      </c>
      <c r="H8" s="402"/>
      <c r="I8" s="409" t="s">
        <v>19</v>
      </c>
    </row>
    <row r="9">
      <c r="A9" s="523" t="s">
        <v>277</v>
      </c>
      <c r="B9" s="524">
        <v>2.0</v>
      </c>
      <c r="C9" s="525" t="s">
        <v>292</v>
      </c>
      <c r="D9" s="524" t="s">
        <v>448</v>
      </c>
      <c r="E9" s="525">
        <v>5.0</v>
      </c>
      <c r="F9" s="525">
        <v>7.0</v>
      </c>
      <c r="G9" s="526" t="s">
        <v>26</v>
      </c>
      <c r="H9" s="383"/>
      <c r="I9" s="476"/>
    </row>
    <row r="10">
      <c r="A10" s="478" t="s">
        <v>34</v>
      </c>
      <c r="B10" s="50">
        <v>6.0</v>
      </c>
      <c r="C10" s="479" t="s">
        <v>539</v>
      </c>
      <c r="D10" s="50" t="s">
        <v>537</v>
      </c>
      <c r="E10" s="479">
        <v>10.0</v>
      </c>
      <c r="F10" s="479">
        <v>7.0</v>
      </c>
      <c r="G10" s="480" t="s">
        <v>19</v>
      </c>
      <c r="H10" s="402"/>
      <c r="I10" s="409" t="s">
        <v>19</v>
      </c>
    </row>
    <row r="11">
      <c r="A11" s="405" t="s">
        <v>34</v>
      </c>
      <c r="B11" s="409">
        <v>16.0</v>
      </c>
      <c r="C11" s="408" t="s">
        <v>225</v>
      </c>
      <c r="D11" s="409" t="s">
        <v>448</v>
      </c>
      <c r="E11" s="408">
        <v>5.0</v>
      </c>
      <c r="F11" s="408">
        <v>3.0</v>
      </c>
      <c r="G11" s="411" t="s">
        <v>19</v>
      </c>
      <c r="H11" s="402"/>
      <c r="I11" s="409" t="s">
        <v>19</v>
      </c>
    </row>
    <row r="12">
      <c r="A12" s="405" t="s">
        <v>34</v>
      </c>
      <c r="B12" s="409">
        <v>23.0</v>
      </c>
      <c r="C12" s="255" t="s">
        <v>487</v>
      </c>
      <c r="D12" s="409" t="s">
        <v>537</v>
      </c>
      <c r="E12" s="408">
        <v>9.0</v>
      </c>
      <c r="F12" s="408">
        <v>4.0</v>
      </c>
      <c r="G12" s="411" t="s">
        <v>19</v>
      </c>
      <c r="H12" s="402"/>
      <c r="I12" s="409" t="s">
        <v>19</v>
      </c>
    </row>
    <row r="13">
      <c r="A13" s="405" t="s">
        <v>61</v>
      </c>
      <c r="B13" s="409">
        <v>3.0</v>
      </c>
      <c r="C13" s="408" t="s">
        <v>495</v>
      </c>
      <c r="D13" s="409" t="s">
        <v>537</v>
      </c>
      <c r="E13" s="408">
        <v>8.0</v>
      </c>
      <c r="F13" s="408">
        <v>2.0</v>
      </c>
      <c r="G13" s="411" t="s">
        <v>19</v>
      </c>
      <c r="H13" s="402"/>
      <c r="I13" s="409" t="s">
        <v>19</v>
      </c>
    </row>
    <row r="14">
      <c r="A14" s="405" t="s">
        <v>61</v>
      </c>
      <c r="B14" s="409">
        <v>4.0</v>
      </c>
      <c r="C14" s="408" t="s">
        <v>266</v>
      </c>
      <c r="D14" s="409" t="s">
        <v>448</v>
      </c>
      <c r="E14" s="408">
        <v>7.0</v>
      </c>
      <c r="F14" s="408">
        <v>6.0</v>
      </c>
      <c r="G14" s="411" t="s">
        <v>19</v>
      </c>
      <c r="H14" s="402"/>
      <c r="I14" s="409" t="s">
        <v>19</v>
      </c>
    </row>
    <row r="15">
      <c r="A15" s="478" t="s">
        <v>68</v>
      </c>
      <c r="B15" s="50">
        <v>24.0</v>
      </c>
      <c r="C15" s="479" t="s">
        <v>475</v>
      </c>
      <c r="D15" s="50" t="s">
        <v>448</v>
      </c>
      <c r="E15" s="479">
        <v>6.0</v>
      </c>
      <c r="F15" s="479">
        <v>9.0</v>
      </c>
      <c r="G15" s="480" t="s">
        <v>26</v>
      </c>
      <c r="H15" s="402"/>
      <c r="I15" s="409" t="s">
        <v>26</v>
      </c>
    </row>
    <row r="16">
      <c r="A16" s="405" t="s">
        <v>68</v>
      </c>
      <c r="B16" s="409">
        <v>25.0</v>
      </c>
      <c r="C16" s="408" t="s">
        <v>330</v>
      </c>
      <c r="D16" s="409" t="s">
        <v>537</v>
      </c>
      <c r="E16" s="408">
        <v>14.0</v>
      </c>
      <c r="F16" s="408">
        <v>6.0</v>
      </c>
      <c r="G16" s="411" t="s">
        <v>19</v>
      </c>
      <c r="H16" s="402"/>
      <c r="I16" s="409" t="s">
        <v>19</v>
      </c>
    </row>
    <row r="17">
      <c r="A17" s="478" t="s">
        <v>74</v>
      </c>
      <c r="B17" s="50">
        <v>2.0</v>
      </c>
      <c r="C17" s="479" t="s">
        <v>570</v>
      </c>
      <c r="D17" s="50" t="s">
        <v>448</v>
      </c>
      <c r="E17" s="479">
        <v>13.0</v>
      </c>
      <c r="F17" s="479">
        <v>7.0</v>
      </c>
      <c r="G17" s="480" t="s">
        <v>19</v>
      </c>
      <c r="H17" s="402"/>
      <c r="I17" s="409" t="s">
        <v>19</v>
      </c>
    </row>
    <row r="18">
      <c r="A18" s="478" t="s">
        <v>74</v>
      </c>
      <c r="B18" s="50">
        <v>6.0</v>
      </c>
      <c r="C18" s="479" t="s">
        <v>564</v>
      </c>
      <c r="D18" s="50" t="s">
        <v>448</v>
      </c>
      <c r="E18" s="479">
        <v>3.0</v>
      </c>
      <c r="F18" s="479">
        <v>10.0</v>
      </c>
      <c r="G18" s="480" t="s">
        <v>26</v>
      </c>
      <c r="H18" s="402"/>
      <c r="I18" s="409" t="s">
        <v>26</v>
      </c>
    </row>
    <row r="19">
      <c r="A19" s="478" t="s">
        <v>74</v>
      </c>
      <c r="B19" s="50">
        <v>8.0</v>
      </c>
      <c r="C19" s="479" t="s">
        <v>338</v>
      </c>
      <c r="D19" s="50" t="s">
        <v>537</v>
      </c>
      <c r="E19" s="479">
        <v>8.0</v>
      </c>
      <c r="F19" s="479">
        <v>4.0</v>
      </c>
      <c r="G19" s="480" t="s">
        <v>19</v>
      </c>
      <c r="H19" s="402"/>
      <c r="I19" s="409" t="s">
        <v>19</v>
      </c>
    </row>
    <row r="20">
      <c r="A20" s="478" t="s">
        <v>74</v>
      </c>
      <c r="B20" s="50">
        <v>12.0</v>
      </c>
      <c r="C20" s="479" t="s">
        <v>517</v>
      </c>
      <c r="D20" s="50" t="s">
        <v>448</v>
      </c>
      <c r="E20" s="479">
        <v>6.0</v>
      </c>
      <c r="F20" s="479">
        <v>11.0</v>
      </c>
      <c r="G20" s="480" t="s">
        <v>26</v>
      </c>
      <c r="H20" s="402"/>
      <c r="I20" s="409" t="s">
        <v>26</v>
      </c>
    </row>
    <row r="21">
      <c r="A21" s="478" t="s">
        <v>74</v>
      </c>
      <c r="B21" s="50">
        <v>15.0</v>
      </c>
      <c r="C21" s="479" t="s">
        <v>497</v>
      </c>
      <c r="D21" s="50" t="s">
        <v>537</v>
      </c>
      <c r="E21" s="479">
        <v>9.0</v>
      </c>
      <c r="F21" s="479">
        <v>8.0</v>
      </c>
      <c r="G21" s="480" t="s">
        <v>19</v>
      </c>
      <c r="H21" s="402"/>
      <c r="I21" s="409" t="s">
        <v>19</v>
      </c>
    </row>
    <row r="22">
      <c r="A22" s="478" t="s">
        <v>74</v>
      </c>
      <c r="B22" s="491">
        <v>16.0</v>
      </c>
      <c r="C22" s="479" t="s">
        <v>498</v>
      </c>
      <c r="D22" s="50" t="s">
        <v>448</v>
      </c>
      <c r="E22" s="479">
        <v>8.0</v>
      </c>
      <c r="F22" s="479">
        <v>4.0</v>
      </c>
      <c r="G22" s="480" t="s">
        <v>19</v>
      </c>
      <c r="H22" s="402"/>
      <c r="I22" s="409" t="s">
        <v>19</v>
      </c>
    </row>
    <row r="23">
      <c r="A23" s="478" t="s">
        <v>74</v>
      </c>
      <c r="B23" s="491">
        <v>20.0</v>
      </c>
      <c r="C23" s="479" t="s">
        <v>206</v>
      </c>
      <c r="D23" s="50" t="s">
        <v>448</v>
      </c>
      <c r="E23" s="479">
        <v>7.0</v>
      </c>
      <c r="F23" s="479">
        <v>7.0</v>
      </c>
      <c r="G23" s="480" t="s">
        <v>73</v>
      </c>
      <c r="H23" s="402"/>
      <c r="I23" s="409" t="s">
        <v>73</v>
      </c>
    </row>
    <row r="24">
      <c r="A24" s="478" t="s">
        <v>74</v>
      </c>
      <c r="B24" s="491">
        <v>22.0</v>
      </c>
      <c r="C24" s="479" t="s">
        <v>361</v>
      </c>
      <c r="D24" s="50" t="s">
        <v>537</v>
      </c>
      <c r="E24" s="479">
        <v>5.0</v>
      </c>
      <c r="F24" s="479">
        <v>5.0</v>
      </c>
      <c r="G24" s="480" t="s">
        <v>73</v>
      </c>
      <c r="H24" s="402"/>
      <c r="I24" s="409" t="s">
        <v>73</v>
      </c>
    </row>
    <row r="25">
      <c r="A25" s="405" t="s">
        <v>74</v>
      </c>
      <c r="B25" s="454">
        <v>23.0</v>
      </c>
      <c r="C25" s="408" t="s">
        <v>554</v>
      </c>
      <c r="D25" s="409" t="s">
        <v>448</v>
      </c>
      <c r="E25" s="408">
        <v>5.0</v>
      </c>
      <c r="F25" s="408">
        <v>3.0</v>
      </c>
      <c r="G25" s="411" t="s">
        <v>19</v>
      </c>
      <c r="H25" s="402"/>
      <c r="I25" s="409" t="s">
        <v>19</v>
      </c>
    </row>
    <row r="26">
      <c r="A26" s="435" t="s">
        <v>106</v>
      </c>
      <c r="B26" s="468">
        <v>1.0</v>
      </c>
      <c r="C26" s="439" t="s">
        <v>248</v>
      </c>
      <c r="D26" s="438" t="s">
        <v>448</v>
      </c>
      <c r="E26" s="439">
        <v>15.0</v>
      </c>
      <c r="F26" s="439">
        <v>4.0</v>
      </c>
      <c r="G26" s="440" t="s">
        <v>19</v>
      </c>
      <c r="H26" s="402"/>
      <c r="I26" s="409" t="s">
        <v>19</v>
      </c>
    </row>
    <row r="27">
      <c r="A27" s="374" t="s">
        <v>419</v>
      </c>
      <c r="B27" s="132"/>
      <c r="C27" s="132"/>
      <c r="D27" s="375" t="s">
        <v>314</v>
      </c>
      <c r="E27" s="377">
        <f t="shared" ref="E27:F27" si="1">SUM(E8:E26)</f>
        <v>148</v>
      </c>
      <c r="F27" s="377">
        <f t="shared" si="1"/>
        <v>111</v>
      </c>
      <c r="G27" s="378"/>
      <c r="H27" s="383"/>
      <c r="I27" s="476"/>
    </row>
  </sheetData>
  <mergeCells count="2">
    <mergeCell ref="A5:G6"/>
    <mergeCell ref="A27:C27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9.5"/>
    <col customWidth="1" min="4" max="4" width="40.0"/>
    <col customWidth="1" min="5" max="5" width="3.0"/>
    <col customWidth="1" min="6" max="6" width="4.38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COUNTIF(G5:G29,"W")&amp;"-"&amp;COUNTIF(G5:G29,"L")&amp;"-"&amp;COUNTIF(G5:G29,"T")&amp;"-"&amp;COUNTIF(G5:G29,"OTL")</f>
        <v>7-11-2-0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COUNTIF(I5:I29,"W")&amp;"-"&amp;COUNTIF(I5:I29,"L")&amp;"-"&amp;COUNTIF(I5:I29,"T")&amp;"-"&amp;COUNTIF(I5:I29,"OTL")</f>
        <v>7-10-2-0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575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0" t="s">
        <v>17</v>
      </c>
      <c r="B8" s="511">
        <v>27.0</v>
      </c>
      <c r="C8" s="512" t="s">
        <v>522</v>
      </c>
      <c r="D8" s="511" t="s">
        <v>537</v>
      </c>
      <c r="E8" s="512">
        <v>5.0</v>
      </c>
      <c r="F8" s="512">
        <v>6.0</v>
      </c>
      <c r="G8" s="513" t="s">
        <v>26</v>
      </c>
      <c r="H8" s="402"/>
      <c r="I8" s="409" t="s">
        <v>26</v>
      </c>
    </row>
    <row r="9">
      <c r="A9" s="478" t="s">
        <v>34</v>
      </c>
      <c r="B9" s="50">
        <v>3.0</v>
      </c>
      <c r="C9" s="479" t="s">
        <v>539</v>
      </c>
      <c r="D9" s="50" t="s">
        <v>537</v>
      </c>
      <c r="E9" s="479">
        <v>5.0</v>
      </c>
      <c r="F9" s="479">
        <v>3.0</v>
      </c>
      <c r="G9" s="480" t="s">
        <v>26</v>
      </c>
      <c r="H9" s="383"/>
      <c r="I9" s="447" t="s">
        <v>26</v>
      </c>
    </row>
    <row r="10">
      <c r="A10" s="478" t="s">
        <v>34</v>
      </c>
      <c r="B10" s="50">
        <v>10.0</v>
      </c>
      <c r="C10" s="479" t="s">
        <v>564</v>
      </c>
      <c r="D10" s="50" t="s">
        <v>448</v>
      </c>
      <c r="E10" s="479">
        <v>6.0</v>
      </c>
      <c r="F10" s="479">
        <v>10.0</v>
      </c>
      <c r="G10" s="480" t="s">
        <v>19</v>
      </c>
      <c r="H10" s="402"/>
      <c r="I10" s="409" t="s">
        <v>19</v>
      </c>
    </row>
    <row r="11">
      <c r="A11" s="405" t="s">
        <v>34</v>
      </c>
      <c r="B11" s="409">
        <v>17.0</v>
      </c>
      <c r="C11" s="408" t="s">
        <v>292</v>
      </c>
      <c r="D11" s="409" t="s">
        <v>448</v>
      </c>
      <c r="E11" s="408">
        <v>6.0</v>
      </c>
      <c r="F11" s="408">
        <v>10.0</v>
      </c>
      <c r="G11" s="411" t="s">
        <v>26</v>
      </c>
      <c r="H11" s="402"/>
      <c r="I11" s="409" t="s">
        <v>26</v>
      </c>
    </row>
    <row r="12">
      <c r="A12" s="405" t="s">
        <v>34</v>
      </c>
      <c r="B12" s="409">
        <v>24.0</v>
      </c>
      <c r="C12" s="408" t="s">
        <v>522</v>
      </c>
      <c r="D12" s="409" t="s">
        <v>537</v>
      </c>
      <c r="E12" s="408">
        <v>2.0</v>
      </c>
      <c r="F12" s="408">
        <v>6.0</v>
      </c>
      <c r="G12" s="411" t="s">
        <v>26</v>
      </c>
      <c r="H12" s="402"/>
      <c r="I12" s="409" t="s">
        <v>26</v>
      </c>
    </row>
    <row r="13">
      <c r="A13" s="405" t="s">
        <v>61</v>
      </c>
      <c r="B13" s="409">
        <v>2.0</v>
      </c>
      <c r="C13" s="408" t="s">
        <v>579</v>
      </c>
      <c r="D13" s="409" t="s">
        <v>448</v>
      </c>
      <c r="E13" s="408">
        <v>10.0</v>
      </c>
      <c r="F13" s="408">
        <v>3.0</v>
      </c>
      <c r="G13" s="411" t="s">
        <v>19</v>
      </c>
      <c r="H13" s="402"/>
      <c r="I13" s="409" t="s">
        <v>19</v>
      </c>
    </row>
    <row r="14">
      <c r="A14" s="405" t="s">
        <v>61</v>
      </c>
      <c r="B14" s="409">
        <v>8.0</v>
      </c>
      <c r="C14" s="408" t="s">
        <v>474</v>
      </c>
      <c r="D14" s="409" t="s">
        <v>537</v>
      </c>
      <c r="E14" s="408">
        <v>3.0</v>
      </c>
      <c r="F14" s="408">
        <v>4.0</v>
      </c>
      <c r="G14" s="411" t="s">
        <v>26</v>
      </c>
      <c r="H14" s="402"/>
      <c r="I14" s="409" t="s">
        <v>26</v>
      </c>
    </row>
    <row r="15">
      <c r="A15" s="478" t="s">
        <v>61</v>
      </c>
      <c r="B15" s="50">
        <v>15.0</v>
      </c>
      <c r="C15" s="479" t="s">
        <v>543</v>
      </c>
      <c r="D15" s="50" t="s">
        <v>537</v>
      </c>
      <c r="E15" s="479">
        <v>2.0</v>
      </c>
      <c r="F15" s="479">
        <v>9.0</v>
      </c>
      <c r="G15" s="480" t="s">
        <v>26</v>
      </c>
      <c r="H15" s="402"/>
      <c r="I15" s="409" t="s">
        <v>26</v>
      </c>
    </row>
    <row r="16">
      <c r="A16" s="405" t="s">
        <v>68</v>
      </c>
      <c r="B16" s="409">
        <v>9.0</v>
      </c>
      <c r="C16" s="408" t="s">
        <v>225</v>
      </c>
      <c r="D16" s="409" t="s">
        <v>448</v>
      </c>
      <c r="E16" s="408">
        <v>0.0</v>
      </c>
      <c r="F16" s="408">
        <v>8.0</v>
      </c>
      <c r="G16" s="411" t="s">
        <v>26</v>
      </c>
      <c r="H16" s="402"/>
      <c r="I16" s="409" t="s">
        <v>26</v>
      </c>
    </row>
    <row r="17">
      <c r="A17" s="478" t="s">
        <v>398</v>
      </c>
      <c r="B17" s="50">
        <v>12.0</v>
      </c>
      <c r="C17" s="479" t="s">
        <v>504</v>
      </c>
      <c r="D17" s="50" t="s">
        <v>537</v>
      </c>
      <c r="E17" s="479">
        <v>0.0</v>
      </c>
      <c r="F17" s="479">
        <v>1.0</v>
      </c>
      <c r="G17" s="480" t="s">
        <v>26</v>
      </c>
      <c r="H17" s="402"/>
      <c r="I17" s="409" t="s">
        <v>26</v>
      </c>
    </row>
    <row r="18">
      <c r="A18" s="523" t="s">
        <v>583</v>
      </c>
      <c r="B18" s="524">
        <v>13.0</v>
      </c>
      <c r="C18" s="525" t="s">
        <v>475</v>
      </c>
      <c r="D18" s="524" t="s">
        <v>448</v>
      </c>
      <c r="E18" s="525">
        <v>0.0</v>
      </c>
      <c r="F18" s="525">
        <v>1.0</v>
      </c>
      <c r="G18" s="526" t="s">
        <v>26</v>
      </c>
      <c r="H18" s="402"/>
      <c r="I18" s="16"/>
    </row>
    <row r="19">
      <c r="A19" s="478" t="s">
        <v>68</v>
      </c>
      <c r="B19" s="50">
        <v>19.0</v>
      </c>
      <c r="C19" s="479" t="s">
        <v>515</v>
      </c>
      <c r="D19" s="50" t="s">
        <v>448</v>
      </c>
      <c r="E19" s="479">
        <v>4.0</v>
      </c>
      <c r="F19" s="479">
        <v>6.0</v>
      </c>
      <c r="G19" s="480" t="s">
        <v>26</v>
      </c>
      <c r="H19" s="402"/>
      <c r="I19" s="409" t="s">
        <v>26</v>
      </c>
    </row>
    <row r="20">
      <c r="A20" s="478" t="s">
        <v>367</v>
      </c>
      <c r="B20" s="50">
        <v>2.0</v>
      </c>
      <c r="C20" s="479" t="s">
        <v>365</v>
      </c>
      <c r="D20" s="50" t="s">
        <v>537</v>
      </c>
      <c r="E20" s="479">
        <v>1.0</v>
      </c>
      <c r="F20" s="479">
        <v>0.0</v>
      </c>
      <c r="G20" s="480" t="s">
        <v>19</v>
      </c>
      <c r="H20" s="402"/>
      <c r="I20" s="409" t="s">
        <v>19</v>
      </c>
    </row>
    <row r="21">
      <c r="A21" s="478" t="s">
        <v>74</v>
      </c>
      <c r="B21" s="50">
        <v>3.0</v>
      </c>
      <c r="C21" s="479" t="s">
        <v>248</v>
      </c>
      <c r="D21" s="50" t="s">
        <v>448</v>
      </c>
      <c r="E21" s="479">
        <v>6.0</v>
      </c>
      <c r="F21" s="479">
        <v>5.0</v>
      </c>
      <c r="G21" s="480" t="s">
        <v>19</v>
      </c>
      <c r="H21" s="402"/>
      <c r="I21" s="409" t="s">
        <v>19</v>
      </c>
    </row>
    <row r="22">
      <c r="A22" s="478" t="s">
        <v>74</v>
      </c>
      <c r="B22" s="491">
        <v>13.0</v>
      </c>
      <c r="C22" s="479" t="s">
        <v>517</v>
      </c>
      <c r="D22" s="50" t="s">
        <v>448</v>
      </c>
      <c r="E22" s="479">
        <v>10.0</v>
      </c>
      <c r="F22" s="479">
        <v>7.0</v>
      </c>
      <c r="G22" s="480" t="s">
        <v>19</v>
      </c>
      <c r="H22" s="402"/>
      <c r="I22" s="409" t="s">
        <v>19</v>
      </c>
    </row>
    <row r="23">
      <c r="A23" s="478" t="s">
        <v>74</v>
      </c>
      <c r="B23" s="491">
        <v>16.0</v>
      </c>
      <c r="C23" s="479" t="s">
        <v>525</v>
      </c>
      <c r="D23" s="50" t="s">
        <v>537</v>
      </c>
      <c r="E23" s="479">
        <v>6.0</v>
      </c>
      <c r="F23" s="479">
        <v>2.0</v>
      </c>
      <c r="G23" s="480" t="s">
        <v>19</v>
      </c>
      <c r="H23" s="402"/>
      <c r="I23" s="409" t="s">
        <v>19</v>
      </c>
    </row>
    <row r="24">
      <c r="A24" s="478" t="s">
        <v>74</v>
      </c>
      <c r="B24" s="491">
        <v>21.0</v>
      </c>
      <c r="C24" s="479" t="s">
        <v>319</v>
      </c>
      <c r="D24" s="50" t="s">
        <v>448</v>
      </c>
      <c r="E24" s="479">
        <v>4.0</v>
      </c>
      <c r="F24" s="479">
        <v>1.0</v>
      </c>
      <c r="G24" s="480" t="s">
        <v>19</v>
      </c>
      <c r="H24" s="402"/>
      <c r="I24" s="409" t="s">
        <v>19</v>
      </c>
    </row>
    <row r="25">
      <c r="A25" s="405" t="s">
        <v>74</v>
      </c>
      <c r="B25" s="454">
        <v>23.0</v>
      </c>
      <c r="C25" s="408" t="s">
        <v>366</v>
      </c>
      <c r="D25" s="409" t="s">
        <v>537</v>
      </c>
      <c r="E25" s="408">
        <v>7.0</v>
      </c>
      <c r="F25" s="408">
        <v>7.0</v>
      </c>
      <c r="G25" s="411" t="s">
        <v>73</v>
      </c>
      <c r="H25" s="402"/>
      <c r="I25" s="409" t="s">
        <v>73</v>
      </c>
    </row>
    <row r="26">
      <c r="A26" s="435" t="s">
        <v>74</v>
      </c>
      <c r="B26" s="468">
        <v>27.0</v>
      </c>
      <c r="C26" s="439" t="s">
        <v>519</v>
      </c>
      <c r="D26" s="438" t="s">
        <v>448</v>
      </c>
      <c r="E26" s="439">
        <v>6.0</v>
      </c>
      <c r="F26" s="439">
        <v>6.0</v>
      </c>
      <c r="G26" s="440" t="s">
        <v>73</v>
      </c>
      <c r="H26" s="402"/>
      <c r="I26" s="409" t="s">
        <v>73</v>
      </c>
    </row>
    <row r="27">
      <c r="A27" s="527"/>
      <c r="B27" s="529"/>
      <c r="C27" s="530"/>
      <c r="D27" s="531"/>
      <c r="E27" s="530"/>
      <c r="F27" s="530"/>
      <c r="G27" s="532"/>
      <c r="H27" s="383"/>
      <c r="I27" s="476"/>
    </row>
    <row r="28">
      <c r="A28" s="434" t="s">
        <v>586</v>
      </c>
      <c r="B28" s="13"/>
      <c r="C28" s="13"/>
      <c r="D28" s="13"/>
      <c r="E28" s="13"/>
      <c r="F28" s="13"/>
      <c r="G28" s="14"/>
      <c r="H28" s="383"/>
      <c r="I28" s="476"/>
    </row>
    <row r="29">
      <c r="A29" s="533" t="s">
        <v>106</v>
      </c>
      <c r="B29" s="473">
        <v>2.0</v>
      </c>
      <c r="C29" s="314" t="s">
        <v>588</v>
      </c>
      <c r="D29" s="443" t="s">
        <v>506</v>
      </c>
      <c r="E29" s="314">
        <v>4.0</v>
      </c>
      <c r="F29" s="314">
        <v>5.0</v>
      </c>
      <c r="G29" s="444" t="s">
        <v>26</v>
      </c>
      <c r="H29" s="528"/>
      <c r="I29" s="409" t="s">
        <v>26</v>
      </c>
    </row>
    <row r="30">
      <c r="A30" s="374" t="s">
        <v>312</v>
      </c>
      <c r="B30" s="132"/>
      <c r="C30" s="132"/>
      <c r="D30" s="375" t="s">
        <v>314</v>
      </c>
      <c r="E30" s="377">
        <f t="shared" ref="E30:F30" si="1">SUM(E8:E29)</f>
        <v>87</v>
      </c>
      <c r="F30" s="377">
        <f t="shared" si="1"/>
        <v>100</v>
      </c>
      <c r="G30" s="378"/>
      <c r="H30" s="383"/>
      <c r="I30" s="476"/>
    </row>
  </sheetData>
  <mergeCells count="3">
    <mergeCell ref="A5:G6"/>
    <mergeCell ref="A28:G28"/>
    <mergeCell ref="A30:C30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9.25"/>
    <col customWidth="1" min="4" max="4" width="40.0"/>
    <col customWidth="1" min="5" max="5" width="3.0"/>
    <col customWidth="1" min="6" max="6" width="4.38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COUNTIF(G5:G31,"W")&amp;"-"&amp;COUNTIF(G5:G31,"L")&amp;"-"&amp;COUNTIF(G5:G31,"T")&amp;"-"&amp;COUNTIF(G5:G31,"OTL")</f>
        <v>8-12-1-0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COUNTIF(I5:I31,"W")&amp;"-"&amp;COUNTIF(I5:I31,"L")&amp;"-"&amp;COUNTIF(I5:I31,"T")&amp;"-"&amp;COUNTIF(I5:I31,"OTL")</f>
        <v>7-11-1-0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576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0" t="s">
        <v>34</v>
      </c>
      <c r="B8" s="511">
        <v>5.0</v>
      </c>
      <c r="C8" s="512" t="s">
        <v>578</v>
      </c>
      <c r="D8" s="511" t="s">
        <v>537</v>
      </c>
      <c r="E8" s="512">
        <v>4.0</v>
      </c>
      <c r="F8" s="512">
        <v>6.0</v>
      </c>
      <c r="G8" s="513" t="s">
        <v>26</v>
      </c>
      <c r="H8" s="402"/>
      <c r="I8" s="409" t="s">
        <v>26</v>
      </c>
    </row>
    <row r="9">
      <c r="A9" s="478" t="s">
        <v>34</v>
      </c>
      <c r="B9" s="50">
        <v>9.0</v>
      </c>
      <c r="C9" s="479" t="s">
        <v>519</v>
      </c>
      <c r="D9" s="50" t="s">
        <v>448</v>
      </c>
      <c r="E9" s="479">
        <v>3.0</v>
      </c>
      <c r="F9" s="479">
        <v>3.0</v>
      </c>
      <c r="G9" s="480" t="s">
        <v>73</v>
      </c>
      <c r="H9" s="383"/>
      <c r="I9" s="447" t="s">
        <v>73</v>
      </c>
    </row>
    <row r="10">
      <c r="A10" s="478" t="s">
        <v>34</v>
      </c>
      <c r="B10" s="50">
        <v>13.0</v>
      </c>
      <c r="C10" s="479" t="s">
        <v>347</v>
      </c>
      <c r="D10" s="50" t="s">
        <v>448</v>
      </c>
      <c r="E10" s="479">
        <v>3.0</v>
      </c>
      <c r="F10" s="479">
        <v>9.0</v>
      </c>
      <c r="G10" s="480" t="s">
        <v>26</v>
      </c>
      <c r="H10" s="402"/>
      <c r="I10" s="409" t="s">
        <v>26</v>
      </c>
    </row>
    <row r="11">
      <c r="A11" s="405" t="s">
        <v>434</v>
      </c>
      <c r="B11" s="409">
        <v>19.0</v>
      </c>
      <c r="C11" s="408" t="s">
        <v>525</v>
      </c>
      <c r="D11" s="409" t="s">
        <v>537</v>
      </c>
      <c r="E11" s="408">
        <v>3.0</v>
      </c>
      <c r="F11" s="408">
        <v>13.0</v>
      </c>
      <c r="G11" s="411" t="s">
        <v>19</v>
      </c>
      <c r="H11" s="402"/>
      <c r="I11" s="409" t="s">
        <v>19</v>
      </c>
    </row>
    <row r="12">
      <c r="A12" s="405" t="s">
        <v>34</v>
      </c>
      <c r="B12" s="409">
        <v>28.0</v>
      </c>
      <c r="C12" s="255" t="s">
        <v>581</v>
      </c>
      <c r="D12" s="409" t="s">
        <v>448</v>
      </c>
      <c r="E12" s="408">
        <v>7.0</v>
      </c>
      <c r="F12" s="408">
        <v>5.0</v>
      </c>
      <c r="G12" s="411" t="s">
        <v>19</v>
      </c>
      <c r="H12" s="402"/>
      <c r="I12" s="409" t="s">
        <v>19</v>
      </c>
    </row>
    <row r="13">
      <c r="A13" s="523" t="s">
        <v>349</v>
      </c>
      <c r="B13" s="524">
        <v>2.0</v>
      </c>
      <c r="C13" s="525" t="s">
        <v>582</v>
      </c>
      <c r="D13" s="524" t="s">
        <v>448</v>
      </c>
      <c r="E13" s="525">
        <v>2.0</v>
      </c>
      <c r="F13" s="525">
        <v>17.0</v>
      </c>
      <c r="G13" s="526" t="s">
        <v>26</v>
      </c>
      <c r="H13" s="402"/>
      <c r="I13" s="16"/>
    </row>
    <row r="14">
      <c r="A14" s="523" t="s">
        <v>349</v>
      </c>
      <c r="B14" s="524">
        <v>4.0</v>
      </c>
      <c r="C14" s="525" t="s">
        <v>544</v>
      </c>
      <c r="D14" s="524" t="s">
        <v>448</v>
      </c>
      <c r="E14" s="525">
        <v>8.0</v>
      </c>
      <c r="F14" s="525">
        <v>7.0</v>
      </c>
      <c r="G14" s="526" t="s">
        <v>19</v>
      </c>
      <c r="H14" s="402"/>
      <c r="I14" s="16"/>
    </row>
    <row r="15">
      <c r="A15" s="478" t="s">
        <v>520</v>
      </c>
      <c r="B15" s="50">
        <v>10.0</v>
      </c>
      <c r="C15" s="381" t="s">
        <v>584</v>
      </c>
      <c r="D15" s="50" t="s">
        <v>537</v>
      </c>
      <c r="E15" s="479">
        <v>5.0</v>
      </c>
      <c r="F15" s="479">
        <v>9.0</v>
      </c>
      <c r="G15" s="480" t="s">
        <v>19</v>
      </c>
      <c r="H15" s="402"/>
      <c r="I15" s="409" t="s">
        <v>19</v>
      </c>
    </row>
    <row r="16">
      <c r="A16" s="405" t="s">
        <v>61</v>
      </c>
      <c r="B16" s="409">
        <v>11.0</v>
      </c>
      <c r="C16" s="408" t="s">
        <v>498</v>
      </c>
      <c r="D16" s="409" t="s">
        <v>448</v>
      </c>
      <c r="E16" s="408">
        <v>3.0</v>
      </c>
      <c r="F16" s="408">
        <v>5.0</v>
      </c>
      <c r="G16" s="411" t="s">
        <v>26</v>
      </c>
      <c r="H16" s="402"/>
      <c r="I16" s="409" t="s">
        <v>26</v>
      </c>
    </row>
    <row r="17">
      <c r="A17" s="478" t="s">
        <v>68</v>
      </c>
      <c r="B17" s="50">
        <v>14.0</v>
      </c>
      <c r="C17" s="479" t="s">
        <v>497</v>
      </c>
      <c r="D17" s="50" t="s">
        <v>537</v>
      </c>
      <c r="E17" s="479">
        <v>3.0</v>
      </c>
      <c r="F17" s="479">
        <v>7.0</v>
      </c>
      <c r="G17" s="480" t="s">
        <v>26</v>
      </c>
      <c r="H17" s="402"/>
      <c r="I17" s="409" t="s">
        <v>26</v>
      </c>
    </row>
    <row r="18">
      <c r="A18" s="478" t="s">
        <v>68</v>
      </c>
      <c r="B18" s="50">
        <v>17.0</v>
      </c>
      <c r="C18" s="479" t="s">
        <v>266</v>
      </c>
      <c r="D18" s="50" t="s">
        <v>448</v>
      </c>
      <c r="E18" s="479">
        <v>3.0</v>
      </c>
      <c r="F18" s="479">
        <v>4.0</v>
      </c>
      <c r="G18" s="480" t="s">
        <v>26</v>
      </c>
      <c r="H18" s="402"/>
      <c r="I18" s="409" t="s">
        <v>26</v>
      </c>
    </row>
    <row r="19">
      <c r="A19" s="478" t="s">
        <v>68</v>
      </c>
      <c r="B19" s="50">
        <v>21.0</v>
      </c>
      <c r="C19" s="479" t="s">
        <v>361</v>
      </c>
      <c r="D19" s="50" t="s">
        <v>537</v>
      </c>
      <c r="E19" s="479">
        <v>1.0</v>
      </c>
      <c r="F19" s="479">
        <v>9.0</v>
      </c>
      <c r="G19" s="480" t="s">
        <v>26</v>
      </c>
      <c r="H19" s="402"/>
      <c r="I19" s="409" t="s">
        <v>26</v>
      </c>
    </row>
    <row r="20">
      <c r="A20" s="478" t="s">
        <v>68</v>
      </c>
      <c r="B20" s="50">
        <v>28.0</v>
      </c>
      <c r="C20" s="479" t="s">
        <v>585</v>
      </c>
      <c r="D20" s="50" t="s">
        <v>537</v>
      </c>
      <c r="E20" s="479">
        <v>4.0</v>
      </c>
      <c r="F20" s="479">
        <v>8.0</v>
      </c>
      <c r="G20" s="480" t="s">
        <v>26</v>
      </c>
      <c r="H20" s="402"/>
      <c r="I20" s="409" t="s">
        <v>26</v>
      </c>
    </row>
    <row r="21">
      <c r="A21" s="478" t="s">
        <v>74</v>
      </c>
      <c r="B21" s="50">
        <v>4.0</v>
      </c>
      <c r="C21" s="479" t="s">
        <v>370</v>
      </c>
      <c r="D21" s="50" t="s">
        <v>537</v>
      </c>
      <c r="E21" s="479">
        <v>7.0</v>
      </c>
      <c r="F21" s="479">
        <v>5.0</v>
      </c>
      <c r="G21" s="480" t="s">
        <v>19</v>
      </c>
      <c r="H21" s="402"/>
      <c r="I21" s="409" t="s">
        <v>19</v>
      </c>
    </row>
    <row r="22">
      <c r="A22" s="478" t="s">
        <v>74</v>
      </c>
      <c r="B22" s="491">
        <v>5.0</v>
      </c>
      <c r="C22" s="381" t="s">
        <v>560</v>
      </c>
      <c r="D22" s="50" t="s">
        <v>448</v>
      </c>
      <c r="E22" s="479">
        <v>2.0</v>
      </c>
      <c r="F22" s="479">
        <v>12.0</v>
      </c>
      <c r="G22" s="480" t="s">
        <v>26</v>
      </c>
      <c r="H22" s="402"/>
      <c r="I22" s="409" t="s">
        <v>26</v>
      </c>
    </row>
    <row r="23">
      <c r="A23" s="478" t="s">
        <v>74</v>
      </c>
      <c r="B23" s="491">
        <v>11.0</v>
      </c>
      <c r="C23" s="479" t="s">
        <v>292</v>
      </c>
      <c r="D23" s="50" t="s">
        <v>448</v>
      </c>
      <c r="E23" s="479">
        <v>10.0</v>
      </c>
      <c r="F23" s="479">
        <v>3.0</v>
      </c>
      <c r="G23" s="480" t="s">
        <v>19</v>
      </c>
      <c r="H23" s="402"/>
      <c r="I23" s="409" t="s">
        <v>19</v>
      </c>
    </row>
    <row r="24">
      <c r="A24" s="478" t="s">
        <v>74</v>
      </c>
      <c r="B24" s="491">
        <v>15.0</v>
      </c>
      <c r="C24" s="479" t="s">
        <v>517</v>
      </c>
      <c r="D24" s="50" t="s">
        <v>448</v>
      </c>
      <c r="E24" s="479">
        <v>10.0</v>
      </c>
      <c r="F24" s="479">
        <v>4.0</v>
      </c>
      <c r="G24" s="480" t="s">
        <v>19</v>
      </c>
      <c r="H24" s="402"/>
      <c r="I24" s="409" t="s">
        <v>19</v>
      </c>
    </row>
    <row r="25">
      <c r="A25" s="405" t="s">
        <v>74</v>
      </c>
      <c r="B25" s="454">
        <v>18.0</v>
      </c>
      <c r="C25" s="408" t="s">
        <v>589</v>
      </c>
      <c r="D25" s="409" t="s">
        <v>448</v>
      </c>
      <c r="E25" s="408">
        <v>9.0</v>
      </c>
      <c r="F25" s="408">
        <v>7.0</v>
      </c>
      <c r="G25" s="411" t="s">
        <v>19</v>
      </c>
      <c r="H25" s="402"/>
      <c r="I25" s="409" t="s">
        <v>19</v>
      </c>
    </row>
    <row r="26">
      <c r="A26" s="405" t="s">
        <v>74</v>
      </c>
      <c r="B26" s="454">
        <v>19.0</v>
      </c>
      <c r="C26" s="408" t="s">
        <v>550</v>
      </c>
      <c r="D26" s="409" t="s">
        <v>448</v>
      </c>
      <c r="E26" s="408">
        <v>3.0</v>
      </c>
      <c r="F26" s="408">
        <v>13.0</v>
      </c>
      <c r="G26" s="411" t="s">
        <v>26</v>
      </c>
      <c r="H26" s="402"/>
      <c r="I26" s="409" t="s">
        <v>26</v>
      </c>
    </row>
    <row r="27">
      <c r="A27" s="435" t="s">
        <v>74</v>
      </c>
      <c r="B27" s="468">
        <v>25.0</v>
      </c>
      <c r="C27" s="439" t="s">
        <v>330</v>
      </c>
      <c r="D27" s="438" t="s">
        <v>537</v>
      </c>
      <c r="E27" s="439">
        <v>2.0</v>
      </c>
      <c r="F27" s="439">
        <v>4.0</v>
      </c>
      <c r="G27" s="440" t="s">
        <v>26</v>
      </c>
      <c r="H27" s="402"/>
      <c r="I27" s="409" t="s">
        <v>26</v>
      </c>
    </row>
    <row r="28">
      <c r="A28" s="527"/>
      <c r="B28" s="529"/>
      <c r="C28" s="530"/>
      <c r="D28" s="531"/>
      <c r="E28" s="530"/>
      <c r="F28" s="530"/>
      <c r="G28" s="532"/>
      <c r="H28" s="383"/>
      <c r="I28" s="476"/>
    </row>
    <row r="29">
      <c r="A29" s="434" t="s">
        <v>592</v>
      </c>
      <c r="B29" s="13"/>
      <c r="C29" s="13"/>
      <c r="D29" s="13"/>
      <c r="E29" s="13"/>
      <c r="F29" s="13"/>
      <c r="G29" s="14"/>
      <c r="H29" s="383"/>
      <c r="I29" s="476"/>
    </row>
    <row r="30">
      <c r="A30" s="533" t="s">
        <v>106</v>
      </c>
      <c r="B30" s="473">
        <v>4.0</v>
      </c>
      <c r="C30" s="314" t="s">
        <v>257</v>
      </c>
      <c r="D30" s="443" t="s">
        <v>506</v>
      </c>
      <c r="E30" s="314">
        <v>1.0</v>
      </c>
      <c r="F30" s="314">
        <v>7.0</v>
      </c>
      <c r="G30" s="444" t="s">
        <v>26</v>
      </c>
      <c r="H30" s="528"/>
      <c r="I30" s="409" t="s">
        <v>26</v>
      </c>
    </row>
    <row r="31">
      <c r="A31" s="374" t="s">
        <v>312</v>
      </c>
      <c r="B31" s="132"/>
      <c r="C31" s="132"/>
      <c r="D31" s="375" t="s">
        <v>314</v>
      </c>
      <c r="E31" s="377">
        <f t="shared" ref="E31:F31" si="1">SUM(E7:E30)</f>
        <v>93</v>
      </c>
      <c r="F31" s="377">
        <f t="shared" si="1"/>
        <v>157</v>
      </c>
      <c r="G31" s="378"/>
      <c r="H31" s="383"/>
      <c r="I31" s="476"/>
    </row>
  </sheetData>
  <mergeCells count="3">
    <mergeCell ref="A5:G6"/>
    <mergeCell ref="A29:G29"/>
    <mergeCell ref="A31:C31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31.13"/>
    <col customWidth="1" min="4" max="4" width="37.0"/>
    <col customWidth="1" min="5" max="5" width="3.0"/>
    <col customWidth="1" min="6" max="6" width="5.38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COUNTIF(G5:G30,"W")&amp;"-"&amp;COUNTIF(G5:G30,"L")&amp;"-"&amp;COUNTIF(G5:G30,"T")&amp;"-"&amp;COUNTIF(G5:G30,"OTL")</f>
        <v>6-14-0-0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COUNTIF(I5:I30,"W")&amp;"-"&amp;COUNTIF(I5:I30,"L")&amp;"-"&amp;COUNTIF(I5:I30,"T")&amp;"-"&amp;COUNTIF(I5:I30,"OTL")</f>
        <v>5-13-0-0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593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23.0</v>
      </c>
      <c r="C8" s="521" t="s">
        <v>338</v>
      </c>
      <c r="D8" s="520" t="s">
        <v>537</v>
      </c>
      <c r="E8" s="521">
        <v>6.0</v>
      </c>
      <c r="F8" s="521">
        <v>8.0</v>
      </c>
      <c r="G8" s="522" t="s">
        <v>26</v>
      </c>
      <c r="H8" s="402"/>
      <c r="I8" s="16"/>
    </row>
    <row r="9">
      <c r="A9" s="478" t="s">
        <v>34</v>
      </c>
      <c r="B9" s="50">
        <v>6.0</v>
      </c>
      <c r="C9" s="479" t="s">
        <v>564</v>
      </c>
      <c r="D9" s="50" t="s">
        <v>448</v>
      </c>
      <c r="E9" s="479">
        <v>2.0</v>
      </c>
      <c r="F9" s="479">
        <v>3.0</v>
      </c>
      <c r="G9" s="480" t="s">
        <v>26</v>
      </c>
      <c r="H9" s="383"/>
      <c r="I9" s="447" t="s">
        <v>26</v>
      </c>
    </row>
    <row r="10">
      <c r="A10" s="478" t="s">
        <v>34</v>
      </c>
      <c r="B10" s="50">
        <v>8.0</v>
      </c>
      <c r="C10" s="479" t="s">
        <v>365</v>
      </c>
      <c r="D10" s="50" t="s">
        <v>537</v>
      </c>
      <c r="E10" s="479">
        <v>7.0</v>
      </c>
      <c r="F10" s="479">
        <v>5.0</v>
      </c>
      <c r="G10" s="480" t="s">
        <v>19</v>
      </c>
      <c r="H10" s="402"/>
      <c r="I10" s="409" t="s">
        <v>19</v>
      </c>
    </row>
    <row r="11">
      <c r="A11" s="405" t="s">
        <v>34</v>
      </c>
      <c r="B11" s="409">
        <v>13.0</v>
      </c>
      <c r="C11" s="408" t="s">
        <v>487</v>
      </c>
      <c r="D11" s="409" t="s">
        <v>537</v>
      </c>
      <c r="E11" s="408">
        <v>5.0</v>
      </c>
      <c r="F11" s="408">
        <v>7.0</v>
      </c>
      <c r="G11" s="411" t="s">
        <v>26</v>
      </c>
      <c r="H11" s="402"/>
      <c r="I11" s="409" t="s">
        <v>26</v>
      </c>
    </row>
    <row r="12">
      <c r="A12" s="405" t="s">
        <v>34</v>
      </c>
      <c r="B12" s="409">
        <v>14.0</v>
      </c>
      <c r="C12" s="408" t="s">
        <v>370</v>
      </c>
      <c r="D12" s="409" t="s">
        <v>537</v>
      </c>
      <c r="E12" s="408">
        <v>6.0</v>
      </c>
      <c r="F12" s="408">
        <v>7.0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22.0</v>
      </c>
      <c r="C13" s="255" t="s">
        <v>581</v>
      </c>
      <c r="D13" s="409" t="s">
        <v>448</v>
      </c>
      <c r="E13" s="408">
        <v>3.0</v>
      </c>
      <c r="F13" s="408">
        <v>4.0</v>
      </c>
      <c r="G13" s="411" t="s">
        <v>26</v>
      </c>
      <c r="H13" s="402"/>
      <c r="I13" s="409" t="s">
        <v>26</v>
      </c>
    </row>
    <row r="14">
      <c r="A14" s="405" t="s">
        <v>434</v>
      </c>
      <c r="B14" s="409">
        <v>28.0</v>
      </c>
      <c r="C14" s="408" t="s">
        <v>338</v>
      </c>
      <c r="D14" s="409" t="s">
        <v>537</v>
      </c>
      <c r="E14" s="408">
        <v>3.0</v>
      </c>
      <c r="F14" s="408">
        <v>6.0</v>
      </c>
      <c r="G14" s="411" t="s">
        <v>19</v>
      </c>
      <c r="H14" s="402"/>
      <c r="I14" s="409" t="s">
        <v>19</v>
      </c>
    </row>
    <row r="15">
      <c r="A15" s="478" t="s">
        <v>61</v>
      </c>
      <c r="B15" s="50">
        <v>1.0</v>
      </c>
      <c r="C15" s="479" t="s">
        <v>517</v>
      </c>
      <c r="D15" s="50" t="s">
        <v>448</v>
      </c>
      <c r="E15" s="479">
        <v>7.0</v>
      </c>
      <c r="F15" s="479">
        <v>14.0</v>
      </c>
      <c r="G15" s="480" t="s">
        <v>26</v>
      </c>
      <c r="H15" s="402"/>
      <c r="I15" s="409" t="s">
        <v>26</v>
      </c>
    </row>
    <row r="16">
      <c r="A16" s="405" t="s">
        <v>61</v>
      </c>
      <c r="B16" s="409">
        <v>8.0</v>
      </c>
      <c r="C16" s="408" t="s">
        <v>522</v>
      </c>
      <c r="D16" s="409" t="s">
        <v>537</v>
      </c>
      <c r="E16" s="408">
        <v>5.0</v>
      </c>
      <c r="F16" s="408">
        <v>7.0</v>
      </c>
      <c r="G16" s="411" t="s">
        <v>26</v>
      </c>
      <c r="H16" s="402"/>
      <c r="I16" s="409" t="s">
        <v>26</v>
      </c>
    </row>
    <row r="17">
      <c r="A17" s="478" t="s">
        <v>61</v>
      </c>
      <c r="B17" s="50">
        <v>20.0</v>
      </c>
      <c r="C17" s="479" t="s">
        <v>515</v>
      </c>
      <c r="D17" s="50" t="s">
        <v>448</v>
      </c>
      <c r="E17" s="479">
        <v>5.0</v>
      </c>
      <c r="F17" s="479">
        <v>1.0</v>
      </c>
      <c r="G17" s="480" t="s">
        <v>19</v>
      </c>
      <c r="H17" s="402"/>
      <c r="I17" s="409" t="s">
        <v>19</v>
      </c>
    </row>
    <row r="18">
      <c r="A18" s="523" t="s">
        <v>298</v>
      </c>
      <c r="B18" s="524">
        <v>5.0</v>
      </c>
      <c r="C18" s="525" t="s">
        <v>579</v>
      </c>
      <c r="D18" s="524" t="s">
        <v>448</v>
      </c>
      <c r="E18" s="525">
        <v>8.0</v>
      </c>
      <c r="F18" s="525">
        <v>4.0</v>
      </c>
      <c r="G18" s="526" t="s">
        <v>19</v>
      </c>
      <c r="H18" s="402"/>
      <c r="I18" s="16"/>
    </row>
    <row r="19">
      <c r="A19" s="478" t="s">
        <v>68</v>
      </c>
      <c r="B19" s="50">
        <v>9.0</v>
      </c>
      <c r="C19" s="479" t="s">
        <v>498</v>
      </c>
      <c r="D19" s="50" t="s">
        <v>448</v>
      </c>
      <c r="E19" s="479">
        <v>4.0</v>
      </c>
      <c r="F19" s="479">
        <v>14.0</v>
      </c>
      <c r="G19" s="480" t="s">
        <v>26</v>
      </c>
      <c r="H19" s="402"/>
      <c r="I19" s="409" t="s">
        <v>26</v>
      </c>
    </row>
    <row r="20">
      <c r="A20" s="478" t="s">
        <v>68</v>
      </c>
      <c r="B20" s="50">
        <v>10.0</v>
      </c>
      <c r="C20" s="479" t="s">
        <v>543</v>
      </c>
      <c r="D20" s="50" t="s">
        <v>537</v>
      </c>
      <c r="E20" s="479">
        <v>1.0</v>
      </c>
      <c r="F20" s="479">
        <v>9.0</v>
      </c>
      <c r="G20" s="480" t="s">
        <v>26</v>
      </c>
      <c r="H20" s="402"/>
      <c r="I20" s="409" t="s">
        <v>26</v>
      </c>
    </row>
    <row r="21">
      <c r="A21" s="478" t="s">
        <v>68</v>
      </c>
      <c r="B21" s="50">
        <v>16.0</v>
      </c>
      <c r="C21" s="479" t="s">
        <v>347</v>
      </c>
      <c r="D21" s="50" t="s">
        <v>448</v>
      </c>
      <c r="E21" s="479">
        <v>3.0</v>
      </c>
      <c r="F21" s="479">
        <v>19.0</v>
      </c>
      <c r="G21" s="480" t="s">
        <v>26</v>
      </c>
      <c r="H21" s="402"/>
      <c r="I21" s="409" t="s">
        <v>26</v>
      </c>
    </row>
    <row r="22">
      <c r="A22" s="478" t="s">
        <v>68</v>
      </c>
      <c r="B22" s="491">
        <v>24.0</v>
      </c>
      <c r="C22" s="479" t="s">
        <v>248</v>
      </c>
      <c r="D22" s="50" t="s">
        <v>448</v>
      </c>
      <c r="E22" s="479">
        <v>8.0</v>
      </c>
      <c r="F22" s="479">
        <v>1.0</v>
      </c>
      <c r="G22" s="480" t="s">
        <v>19</v>
      </c>
      <c r="H22" s="402"/>
      <c r="I22" s="409" t="s">
        <v>19</v>
      </c>
    </row>
    <row r="23">
      <c r="A23" s="478" t="s">
        <v>68</v>
      </c>
      <c r="B23" s="491">
        <v>31.0</v>
      </c>
      <c r="C23" s="479" t="s">
        <v>525</v>
      </c>
      <c r="D23" s="50" t="s">
        <v>537</v>
      </c>
      <c r="E23" s="479">
        <v>6.0</v>
      </c>
      <c r="F23" s="479">
        <v>7.0</v>
      </c>
      <c r="G23" s="480" t="s">
        <v>26</v>
      </c>
      <c r="H23" s="402"/>
      <c r="I23" s="409" t="s">
        <v>26</v>
      </c>
    </row>
    <row r="24">
      <c r="A24" s="478" t="s">
        <v>74</v>
      </c>
      <c r="B24" s="491">
        <v>9.0</v>
      </c>
      <c r="C24" s="479" t="s">
        <v>266</v>
      </c>
      <c r="D24" s="50" t="s">
        <v>448</v>
      </c>
      <c r="E24" s="479">
        <v>1.0</v>
      </c>
      <c r="F24" s="479">
        <v>8.0</v>
      </c>
      <c r="G24" s="480" t="s">
        <v>26</v>
      </c>
      <c r="H24" s="402"/>
      <c r="I24" s="409" t="s">
        <v>26</v>
      </c>
    </row>
    <row r="25">
      <c r="A25" s="405" t="s">
        <v>74</v>
      </c>
      <c r="B25" s="454">
        <v>17.0</v>
      </c>
      <c r="C25" s="408" t="s">
        <v>319</v>
      </c>
      <c r="D25" s="409" t="s">
        <v>448</v>
      </c>
      <c r="E25" s="408">
        <v>7.0</v>
      </c>
      <c r="F25" s="408">
        <v>5.0</v>
      </c>
      <c r="G25" s="411" t="s">
        <v>19</v>
      </c>
      <c r="H25" s="402"/>
      <c r="I25" s="409" t="s">
        <v>19</v>
      </c>
    </row>
    <row r="26">
      <c r="A26" s="405" t="s">
        <v>74</v>
      </c>
      <c r="B26" s="454">
        <v>22.0</v>
      </c>
      <c r="C26" s="408" t="s">
        <v>598</v>
      </c>
      <c r="D26" s="409" t="s">
        <v>537</v>
      </c>
      <c r="E26" s="408">
        <v>3.0</v>
      </c>
      <c r="F26" s="408">
        <v>4.0</v>
      </c>
      <c r="G26" s="411" t="s">
        <v>26</v>
      </c>
      <c r="H26" s="402"/>
      <c r="I26" s="409" t="s">
        <v>26</v>
      </c>
    </row>
    <row r="27">
      <c r="A27" s="435" t="s">
        <v>106</v>
      </c>
      <c r="B27" s="468">
        <v>2.0</v>
      </c>
      <c r="C27" s="439" t="s">
        <v>358</v>
      </c>
      <c r="D27" s="438" t="s">
        <v>537</v>
      </c>
      <c r="E27" s="439">
        <v>2.0</v>
      </c>
      <c r="F27" s="439">
        <v>12.0</v>
      </c>
      <c r="G27" s="440" t="s">
        <v>26</v>
      </c>
      <c r="H27" s="402"/>
      <c r="I27" s="409" t="s">
        <v>26</v>
      </c>
    </row>
    <row r="28">
      <c r="A28" s="374" t="s">
        <v>312</v>
      </c>
      <c r="B28" s="132"/>
      <c r="C28" s="132"/>
      <c r="D28" s="375" t="s">
        <v>314</v>
      </c>
      <c r="E28" s="377">
        <f t="shared" ref="E28:F28" si="1">SUM(E5:E27)</f>
        <v>92</v>
      </c>
      <c r="F28" s="377">
        <f t="shared" si="1"/>
        <v>145</v>
      </c>
      <c r="G28" s="378"/>
      <c r="H28" s="383"/>
      <c r="I28" s="476"/>
    </row>
  </sheetData>
  <mergeCells count="2">
    <mergeCell ref="A5:G6"/>
    <mergeCell ref="A28:C28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9.38"/>
    <col customWidth="1" min="4" max="4" width="39.0"/>
    <col customWidth="1" min="5" max="5" width="4.0"/>
    <col customWidth="1" min="6" max="6" width="4.38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COUNTIF(G5:G31,"W")&amp;"-"&amp;COUNTIF(G5:G31,"L")&amp;"-"&amp;COUNTIF(G5:G31,"T")&amp;"-"&amp;COUNTIF(G5:G31,"OTL")</f>
        <v>5-13-2-0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COUNTIF(I5:I31,"W")&amp;"-"&amp;COUNTIF(I5:I31,"L")&amp;"-"&amp;COUNTIF(I5:I31,"T")&amp;"-"&amp;COUNTIF(I5:I31,"OTL")</f>
        <v>4-12-2-0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594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21.0</v>
      </c>
      <c r="C8" s="521" t="s">
        <v>595</v>
      </c>
      <c r="D8" s="520" t="s">
        <v>448</v>
      </c>
      <c r="E8" s="521">
        <v>0.0</v>
      </c>
      <c r="F8" s="521">
        <v>16.0</v>
      </c>
      <c r="G8" s="522" t="s">
        <v>26</v>
      </c>
      <c r="H8" s="402"/>
      <c r="I8" s="16"/>
    </row>
    <row r="9">
      <c r="A9" s="478" t="s">
        <v>434</v>
      </c>
      <c r="B9" s="50">
        <v>2.0</v>
      </c>
      <c r="C9" s="479" t="s">
        <v>564</v>
      </c>
      <c r="D9" s="50" t="s">
        <v>448</v>
      </c>
      <c r="E9" s="479">
        <v>3.0</v>
      </c>
      <c r="F9" s="479">
        <v>6.0</v>
      </c>
      <c r="G9" s="480" t="s">
        <v>19</v>
      </c>
      <c r="H9" s="383"/>
      <c r="I9" s="447" t="s">
        <v>19</v>
      </c>
    </row>
    <row r="10">
      <c r="A10" s="478" t="s">
        <v>34</v>
      </c>
      <c r="B10" s="50">
        <v>3.0</v>
      </c>
      <c r="C10" s="479" t="s">
        <v>539</v>
      </c>
      <c r="D10" s="50" t="s">
        <v>537</v>
      </c>
      <c r="E10" s="479">
        <v>7.0</v>
      </c>
      <c r="F10" s="479">
        <v>5.0</v>
      </c>
      <c r="G10" s="480" t="s">
        <v>19</v>
      </c>
      <c r="H10" s="402"/>
      <c r="I10" s="409" t="s">
        <v>19</v>
      </c>
    </row>
    <row r="11">
      <c r="A11" s="405" t="s">
        <v>34</v>
      </c>
      <c r="B11" s="409">
        <v>8.0</v>
      </c>
      <c r="C11" s="408" t="s">
        <v>543</v>
      </c>
      <c r="D11" s="409" t="s">
        <v>537</v>
      </c>
      <c r="E11" s="408">
        <v>2.0</v>
      </c>
      <c r="F11" s="408">
        <v>12.0</v>
      </c>
      <c r="G11" s="411" t="s">
        <v>26</v>
      </c>
      <c r="H11" s="402"/>
      <c r="I11" s="409" t="s">
        <v>26</v>
      </c>
    </row>
    <row r="12">
      <c r="A12" s="405" t="s">
        <v>34</v>
      </c>
      <c r="B12" s="409">
        <v>15.0</v>
      </c>
      <c r="C12" s="408" t="s">
        <v>504</v>
      </c>
      <c r="D12" s="409" t="s">
        <v>537</v>
      </c>
      <c r="E12" s="408">
        <v>1.0</v>
      </c>
      <c r="F12" s="408">
        <v>8.0</v>
      </c>
      <c r="G12" s="411" t="s">
        <v>26</v>
      </c>
      <c r="H12" s="402"/>
      <c r="I12" s="409" t="s">
        <v>26</v>
      </c>
    </row>
    <row r="13">
      <c r="A13" s="405" t="s">
        <v>34</v>
      </c>
      <c r="B13" s="409">
        <v>23.0</v>
      </c>
      <c r="C13" s="408" t="s">
        <v>361</v>
      </c>
      <c r="D13" s="409" t="s">
        <v>537</v>
      </c>
      <c r="E13" s="408">
        <v>4.0</v>
      </c>
      <c r="F13" s="408">
        <v>4.0</v>
      </c>
      <c r="G13" s="411" t="s">
        <v>73</v>
      </c>
      <c r="H13" s="402"/>
      <c r="I13" s="409" t="s">
        <v>73</v>
      </c>
    </row>
    <row r="14">
      <c r="A14" s="405" t="s">
        <v>34</v>
      </c>
      <c r="B14" s="409">
        <v>25.0</v>
      </c>
      <c r="C14" s="408" t="s">
        <v>597</v>
      </c>
      <c r="D14" s="409" t="s">
        <v>537</v>
      </c>
      <c r="E14" s="408">
        <v>7.0</v>
      </c>
      <c r="F14" s="408">
        <v>9.0</v>
      </c>
      <c r="G14" s="411" t="s">
        <v>26</v>
      </c>
      <c r="H14" s="402"/>
      <c r="I14" s="409" t="s">
        <v>26</v>
      </c>
    </row>
    <row r="15">
      <c r="A15" s="478" t="s">
        <v>34</v>
      </c>
      <c r="B15" s="50">
        <v>29.0</v>
      </c>
      <c r="C15" s="479" t="s">
        <v>347</v>
      </c>
      <c r="D15" s="50" t="s">
        <v>448</v>
      </c>
      <c r="E15" s="479">
        <v>6.0</v>
      </c>
      <c r="F15" s="479">
        <v>6.0</v>
      </c>
      <c r="G15" s="480" t="s">
        <v>73</v>
      </c>
      <c r="H15" s="402"/>
      <c r="I15" s="409" t="s">
        <v>73</v>
      </c>
    </row>
    <row r="16">
      <c r="A16" s="405" t="s">
        <v>61</v>
      </c>
      <c r="B16" s="409">
        <v>20.0</v>
      </c>
      <c r="C16" s="255" t="s">
        <v>498</v>
      </c>
      <c r="D16" s="409" t="s">
        <v>448</v>
      </c>
      <c r="E16" s="408">
        <v>4.0</v>
      </c>
      <c r="F16" s="408">
        <v>8.0</v>
      </c>
      <c r="G16" s="411" t="s">
        <v>26</v>
      </c>
      <c r="H16" s="402"/>
      <c r="I16" s="409" t="s">
        <v>26</v>
      </c>
    </row>
    <row r="17">
      <c r="A17" s="478" t="s">
        <v>398</v>
      </c>
      <c r="B17" s="50">
        <v>11.0</v>
      </c>
      <c r="C17" s="479" t="s">
        <v>474</v>
      </c>
      <c r="D17" s="50" t="s">
        <v>537</v>
      </c>
      <c r="E17" s="479">
        <v>5.0</v>
      </c>
      <c r="F17" s="479">
        <v>6.0</v>
      </c>
      <c r="G17" s="480" t="s">
        <v>19</v>
      </c>
      <c r="H17" s="402"/>
      <c r="I17" s="409" t="s">
        <v>19</v>
      </c>
    </row>
    <row r="18">
      <c r="A18" s="478" t="s">
        <v>68</v>
      </c>
      <c r="B18" s="50">
        <v>16.0</v>
      </c>
      <c r="C18" s="479" t="s">
        <v>567</v>
      </c>
      <c r="D18" s="50" t="s">
        <v>448</v>
      </c>
      <c r="E18" s="479">
        <v>0.0</v>
      </c>
      <c r="F18" s="479">
        <v>15.0</v>
      </c>
      <c r="G18" s="480" t="s">
        <v>26</v>
      </c>
      <c r="H18" s="402"/>
      <c r="I18" s="409" t="s">
        <v>26</v>
      </c>
    </row>
    <row r="19">
      <c r="A19" s="478" t="s">
        <v>68</v>
      </c>
      <c r="B19" s="50">
        <v>20.0</v>
      </c>
      <c r="C19" s="381" t="s">
        <v>549</v>
      </c>
      <c r="D19" s="50" t="s">
        <v>537</v>
      </c>
      <c r="E19" s="479">
        <v>4.0</v>
      </c>
      <c r="F19" s="479">
        <v>10.0</v>
      </c>
      <c r="G19" s="480" t="s">
        <v>26</v>
      </c>
      <c r="H19" s="402"/>
      <c r="I19" s="409" t="s">
        <v>26</v>
      </c>
    </row>
    <row r="20">
      <c r="A20" s="478" t="s">
        <v>68</v>
      </c>
      <c r="B20" s="50">
        <v>21.0</v>
      </c>
      <c r="C20" s="381" t="s">
        <v>599</v>
      </c>
      <c r="D20" s="50" t="s">
        <v>448</v>
      </c>
      <c r="E20" s="479">
        <v>0.0</v>
      </c>
      <c r="F20" s="479">
        <v>11.0</v>
      </c>
      <c r="G20" s="480" t="s">
        <v>26</v>
      </c>
      <c r="H20" s="402"/>
      <c r="I20" s="409" t="s">
        <v>26</v>
      </c>
    </row>
    <row r="21">
      <c r="A21" s="478" t="s">
        <v>68</v>
      </c>
      <c r="B21" s="50">
        <v>25.0</v>
      </c>
      <c r="C21" s="479" t="s">
        <v>366</v>
      </c>
      <c r="D21" s="50" t="s">
        <v>537</v>
      </c>
      <c r="E21" s="479">
        <v>4.0</v>
      </c>
      <c r="F21" s="479">
        <v>6.0</v>
      </c>
      <c r="G21" s="480" t="s">
        <v>26</v>
      </c>
      <c r="H21" s="402"/>
      <c r="I21" s="409" t="s">
        <v>26</v>
      </c>
    </row>
    <row r="22">
      <c r="A22" s="478" t="s">
        <v>74</v>
      </c>
      <c r="B22" s="491">
        <v>7.0</v>
      </c>
      <c r="C22" s="479" t="s">
        <v>554</v>
      </c>
      <c r="D22" s="50" t="s">
        <v>448</v>
      </c>
      <c r="E22" s="479">
        <v>2.0</v>
      </c>
      <c r="F22" s="479">
        <v>9.0</v>
      </c>
      <c r="G22" s="480" t="s">
        <v>26</v>
      </c>
      <c r="H22" s="402"/>
      <c r="I22" s="409" t="s">
        <v>26</v>
      </c>
    </row>
    <row r="23">
      <c r="A23" s="478" t="s">
        <v>74</v>
      </c>
      <c r="B23" s="491">
        <v>10.0</v>
      </c>
      <c r="C23" s="479" t="s">
        <v>225</v>
      </c>
      <c r="D23" s="50" t="s">
        <v>448</v>
      </c>
      <c r="E23" s="479">
        <v>3.0</v>
      </c>
      <c r="F23" s="479">
        <v>5.0</v>
      </c>
      <c r="G23" s="480" t="s">
        <v>26</v>
      </c>
      <c r="H23" s="402"/>
      <c r="I23" s="409" t="s">
        <v>26</v>
      </c>
    </row>
    <row r="24">
      <c r="A24" s="478" t="s">
        <v>74</v>
      </c>
      <c r="B24" s="491">
        <v>15.0</v>
      </c>
      <c r="C24" s="381" t="s">
        <v>487</v>
      </c>
      <c r="D24" s="50" t="s">
        <v>537</v>
      </c>
      <c r="E24" s="479">
        <v>5.0</v>
      </c>
      <c r="F24" s="479">
        <v>1.0</v>
      </c>
      <c r="G24" s="480" t="s">
        <v>19</v>
      </c>
      <c r="H24" s="402"/>
      <c r="I24" s="409" t="s">
        <v>19</v>
      </c>
    </row>
    <row r="25">
      <c r="A25" s="405" t="s">
        <v>74</v>
      </c>
      <c r="B25" s="454">
        <v>21.0</v>
      </c>
      <c r="C25" s="408" t="s">
        <v>475</v>
      </c>
      <c r="D25" s="409" t="s">
        <v>448</v>
      </c>
      <c r="E25" s="408">
        <v>0.0</v>
      </c>
      <c r="F25" s="408">
        <v>9.0</v>
      </c>
      <c r="G25" s="411" t="s">
        <v>26</v>
      </c>
      <c r="H25" s="402"/>
      <c r="I25" s="409" t="s">
        <v>26</v>
      </c>
    </row>
    <row r="26">
      <c r="A26" s="523" t="s">
        <v>382</v>
      </c>
      <c r="B26" s="535">
        <v>24.0</v>
      </c>
      <c r="C26" s="525" t="s">
        <v>458</v>
      </c>
      <c r="D26" s="524" t="s">
        <v>448</v>
      </c>
      <c r="E26" s="525">
        <v>2.0</v>
      </c>
      <c r="F26" s="525">
        <v>1.0</v>
      </c>
      <c r="G26" s="526" t="s">
        <v>19</v>
      </c>
      <c r="H26" s="402"/>
      <c r="I26" s="16"/>
    </row>
    <row r="27">
      <c r="A27" s="435" t="s">
        <v>74</v>
      </c>
      <c r="B27" s="468">
        <v>28.0</v>
      </c>
      <c r="C27" s="439" t="s">
        <v>213</v>
      </c>
      <c r="D27" s="438" t="s">
        <v>448</v>
      </c>
      <c r="E27" s="439">
        <v>1.0</v>
      </c>
      <c r="F27" s="439">
        <v>5.0</v>
      </c>
      <c r="G27" s="440" t="s">
        <v>26</v>
      </c>
      <c r="H27" s="402"/>
      <c r="I27" s="409" t="s">
        <v>26</v>
      </c>
    </row>
    <row r="28">
      <c r="A28" s="374" t="s">
        <v>312</v>
      </c>
      <c r="B28" s="132"/>
      <c r="C28" s="132"/>
      <c r="D28" s="375" t="s">
        <v>314</v>
      </c>
      <c r="E28" s="377">
        <f t="shared" ref="E28:F28" si="1">SUM(E11:E27)</f>
        <v>50</v>
      </c>
      <c r="F28" s="377">
        <f t="shared" si="1"/>
        <v>125</v>
      </c>
      <c r="G28" s="378"/>
      <c r="H28" s="383"/>
      <c r="I28" s="476"/>
    </row>
  </sheetData>
  <mergeCells count="2">
    <mergeCell ref="A5:G6"/>
    <mergeCell ref="A28:C28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7.38"/>
    <col customWidth="1" min="2" max="2" width="2.75"/>
    <col customWidth="1" min="3" max="3" width="29.13"/>
    <col customWidth="1" min="4" max="4" width="38.25"/>
    <col customWidth="1" min="5" max="5" width="4.75"/>
    <col customWidth="1" min="6" max="6" width="4.5"/>
    <col customWidth="1" min="7" max="7" width="6.63"/>
    <col customWidth="1" min="8" max="8" width="15.13"/>
    <col customWidth="1" min="9" max="9" width="6.63"/>
  </cols>
  <sheetData>
    <row r="1">
      <c r="A1" s="264"/>
      <c r="B1" s="265"/>
      <c r="C1" s="266" t="s">
        <v>0</v>
      </c>
      <c r="D1" s="4" t="str">
        <f>COUNTIF(G5:G33,"W")&amp;"-"&amp;COUNTIF(G5:G33,"L")&amp;"-"&amp;COUNTIF(G5:G33,"T")&amp;"-"&amp;COUNTIF(G5:G33,"OTL")</f>
        <v>10-13-2-0</v>
      </c>
      <c r="E1" s="271"/>
      <c r="F1" s="271"/>
      <c r="G1" s="273"/>
      <c r="H1" s="383"/>
      <c r="I1" s="472"/>
    </row>
    <row r="2">
      <c r="A2" s="277"/>
      <c r="B2" s="280"/>
      <c r="C2" s="242" t="s">
        <v>1</v>
      </c>
      <c r="D2" s="10" t="str">
        <f>COUNTIF(I5:I33,"W")&amp;"-"&amp;COUNTIF(I5:I33,"L")&amp;"-"&amp;COUNTIF(I5:I33,"T")&amp;"-"&amp;COUNTIF(I5:I33,"OTL")</f>
        <v>6-10-2-0</v>
      </c>
      <c r="E2" s="286"/>
      <c r="F2" s="286"/>
      <c r="G2" s="287"/>
      <c r="H2" s="383"/>
      <c r="I2" s="476"/>
    </row>
    <row r="3">
      <c r="A3" s="288"/>
      <c r="B3" s="289"/>
      <c r="C3" s="290"/>
      <c r="D3" s="291" t="s">
        <v>2</v>
      </c>
      <c r="E3" s="295"/>
      <c r="F3" s="295"/>
      <c r="G3" s="296"/>
      <c r="H3" s="383"/>
      <c r="I3" s="476"/>
    </row>
    <row r="4">
      <c r="A4" s="299"/>
      <c r="B4" s="300"/>
      <c r="C4" s="301"/>
      <c r="D4" s="303"/>
      <c r="E4" s="304"/>
      <c r="F4" s="304"/>
      <c r="G4" s="305"/>
      <c r="H4" s="383"/>
      <c r="I4" s="447" t="s">
        <v>4</v>
      </c>
    </row>
    <row r="5">
      <c r="A5" s="382" t="s">
        <v>596</v>
      </c>
      <c r="B5" s="3"/>
      <c r="C5" s="3"/>
      <c r="D5" s="3"/>
      <c r="E5" s="3"/>
      <c r="F5" s="3"/>
      <c r="G5" s="5"/>
      <c r="H5" s="397"/>
      <c r="I5" s="476"/>
    </row>
    <row r="6">
      <c r="A6" s="310"/>
      <c r="B6" s="13"/>
      <c r="C6" s="13"/>
      <c r="D6" s="13"/>
      <c r="E6" s="13"/>
      <c r="F6" s="13"/>
      <c r="G6" s="14"/>
      <c r="H6" s="397"/>
      <c r="I6" s="476"/>
    </row>
    <row r="7">
      <c r="A7" s="311" t="s">
        <v>239</v>
      </c>
      <c r="B7" s="300"/>
      <c r="C7" s="314" t="s">
        <v>240</v>
      </c>
      <c r="D7" s="314" t="s">
        <v>241</v>
      </c>
      <c r="E7" s="314" t="s">
        <v>8</v>
      </c>
      <c r="F7" s="314" t="s">
        <v>9</v>
      </c>
      <c r="G7" s="316" t="s">
        <v>202</v>
      </c>
      <c r="H7" s="383"/>
      <c r="I7" s="476"/>
    </row>
    <row r="8">
      <c r="A8" s="519" t="s">
        <v>263</v>
      </c>
      <c r="B8" s="520">
        <v>20.0</v>
      </c>
      <c r="C8" s="521" t="s">
        <v>504</v>
      </c>
      <c r="D8" s="520" t="s">
        <v>537</v>
      </c>
      <c r="E8" s="521">
        <v>5.0</v>
      </c>
      <c r="F8" s="521">
        <v>2.0</v>
      </c>
      <c r="G8" s="522" t="s">
        <v>19</v>
      </c>
      <c r="H8" s="402"/>
      <c r="I8" s="16"/>
    </row>
    <row r="9">
      <c r="A9" s="523" t="s">
        <v>263</v>
      </c>
      <c r="B9" s="524">
        <v>22.0</v>
      </c>
      <c r="C9" s="525" t="s">
        <v>454</v>
      </c>
      <c r="D9" s="524" t="s">
        <v>537</v>
      </c>
      <c r="E9" s="525">
        <v>6.0</v>
      </c>
      <c r="F9" s="525">
        <v>0.0</v>
      </c>
      <c r="G9" s="526" t="s">
        <v>19</v>
      </c>
      <c r="H9" s="383"/>
      <c r="I9" s="476"/>
    </row>
    <row r="10">
      <c r="A10" s="523" t="s">
        <v>263</v>
      </c>
      <c r="B10" s="524">
        <v>25.0</v>
      </c>
      <c r="C10" s="525" t="s">
        <v>338</v>
      </c>
      <c r="D10" s="524" t="s">
        <v>537</v>
      </c>
      <c r="E10" s="525">
        <v>5.0</v>
      </c>
      <c r="F10" s="525">
        <v>2.0</v>
      </c>
      <c r="G10" s="526" t="s">
        <v>19</v>
      </c>
      <c r="H10" s="402"/>
      <c r="I10" s="16"/>
    </row>
    <row r="11">
      <c r="A11" s="405" t="s">
        <v>34</v>
      </c>
      <c r="B11" s="409">
        <v>1.0</v>
      </c>
      <c r="C11" s="408" t="s">
        <v>564</v>
      </c>
      <c r="D11" s="409" t="s">
        <v>448</v>
      </c>
      <c r="E11" s="408">
        <v>6.0</v>
      </c>
      <c r="F11" s="408">
        <v>2.0</v>
      </c>
      <c r="G11" s="411" t="s">
        <v>19</v>
      </c>
      <c r="H11" s="402"/>
      <c r="I11" s="409" t="s">
        <v>19</v>
      </c>
    </row>
    <row r="12">
      <c r="A12" s="523" t="s">
        <v>277</v>
      </c>
      <c r="B12" s="524">
        <v>4.0</v>
      </c>
      <c r="C12" s="525" t="s">
        <v>213</v>
      </c>
      <c r="D12" s="524" t="s">
        <v>448</v>
      </c>
      <c r="E12" s="525">
        <v>7.0</v>
      </c>
      <c r="F12" s="525">
        <v>5.0</v>
      </c>
      <c r="G12" s="526" t="s">
        <v>19</v>
      </c>
      <c r="H12" s="402"/>
      <c r="I12" s="16"/>
    </row>
    <row r="13">
      <c r="A13" s="523" t="s">
        <v>277</v>
      </c>
      <c r="B13" s="524">
        <v>5.0</v>
      </c>
      <c r="C13" s="525" t="s">
        <v>600</v>
      </c>
      <c r="D13" s="524" t="s">
        <v>448</v>
      </c>
      <c r="E13" s="525">
        <v>0.0</v>
      </c>
      <c r="F13" s="525">
        <v>14.0</v>
      </c>
      <c r="G13" s="526" t="s">
        <v>26</v>
      </c>
      <c r="H13" s="402"/>
      <c r="I13" s="16"/>
    </row>
    <row r="14">
      <c r="A14" s="405" t="s">
        <v>34</v>
      </c>
      <c r="B14" s="409">
        <v>10.0</v>
      </c>
      <c r="C14" s="408" t="s">
        <v>597</v>
      </c>
      <c r="D14" s="409" t="s">
        <v>537</v>
      </c>
      <c r="E14" s="408">
        <v>4.0</v>
      </c>
      <c r="F14" s="408">
        <v>7.0</v>
      </c>
      <c r="G14" s="411" t="s">
        <v>26</v>
      </c>
      <c r="H14" s="402"/>
      <c r="I14" s="409" t="s">
        <v>26</v>
      </c>
    </row>
    <row r="15">
      <c r="A15" s="478" t="s">
        <v>34</v>
      </c>
      <c r="B15" s="50">
        <v>15.0</v>
      </c>
      <c r="C15" s="479" t="s">
        <v>550</v>
      </c>
      <c r="D15" s="50" t="s">
        <v>448</v>
      </c>
      <c r="E15" s="479">
        <v>3.0</v>
      </c>
      <c r="F15" s="479">
        <v>3.0</v>
      </c>
      <c r="G15" s="480" t="s">
        <v>73</v>
      </c>
      <c r="H15" s="402"/>
      <c r="I15" s="409" t="s">
        <v>73</v>
      </c>
    </row>
    <row r="16">
      <c r="A16" s="405" t="s">
        <v>34</v>
      </c>
      <c r="B16" s="409">
        <v>18.0</v>
      </c>
      <c r="C16" s="408" t="s">
        <v>358</v>
      </c>
      <c r="D16" s="409" t="s">
        <v>537</v>
      </c>
      <c r="E16" s="408">
        <v>1.0</v>
      </c>
      <c r="F16" s="408">
        <v>2.0</v>
      </c>
      <c r="G16" s="411" t="s">
        <v>26</v>
      </c>
      <c r="H16" s="402"/>
      <c r="I16" s="409" t="s">
        <v>26</v>
      </c>
    </row>
    <row r="17">
      <c r="A17" s="478" t="s">
        <v>34</v>
      </c>
      <c r="B17" s="50">
        <v>26.0</v>
      </c>
      <c r="C17" s="479" t="s">
        <v>569</v>
      </c>
      <c r="D17" s="50" t="s">
        <v>537</v>
      </c>
      <c r="E17" s="479">
        <v>2.0</v>
      </c>
      <c r="F17" s="479">
        <v>8.0</v>
      </c>
      <c r="G17" s="480" t="s">
        <v>26</v>
      </c>
      <c r="H17" s="402"/>
      <c r="I17" s="409" t="s">
        <v>26</v>
      </c>
    </row>
    <row r="18">
      <c r="A18" s="478" t="s">
        <v>61</v>
      </c>
      <c r="B18" s="50">
        <v>8.0</v>
      </c>
      <c r="C18" s="381" t="s">
        <v>560</v>
      </c>
      <c r="D18" s="50" t="s">
        <v>448</v>
      </c>
      <c r="E18" s="479">
        <v>6.0</v>
      </c>
      <c r="F18" s="479">
        <v>8.0</v>
      </c>
      <c r="G18" s="480" t="s">
        <v>26</v>
      </c>
      <c r="H18" s="402"/>
      <c r="I18" s="409" t="s">
        <v>26</v>
      </c>
    </row>
    <row r="19">
      <c r="A19" s="478" t="s">
        <v>61</v>
      </c>
      <c r="B19" s="50">
        <v>9.0</v>
      </c>
      <c r="C19" s="381" t="s">
        <v>584</v>
      </c>
      <c r="D19" s="50" t="s">
        <v>537</v>
      </c>
      <c r="E19" s="479">
        <v>9.0</v>
      </c>
      <c r="F19" s="479">
        <v>4.0</v>
      </c>
      <c r="G19" s="480" t="s">
        <v>19</v>
      </c>
      <c r="H19" s="402"/>
      <c r="I19" s="409" t="s">
        <v>19</v>
      </c>
    </row>
    <row r="20">
      <c r="A20" s="478" t="s">
        <v>68</v>
      </c>
      <c r="B20" s="50">
        <v>7.0</v>
      </c>
      <c r="C20" s="479" t="s">
        <v>361</v>
      </c>
      <c r="D20" s="50" t="s">
        <v>537</v>
      </c>
      <c r="E20" s="479">
        <v>6.0</v>
      </c>
      <c r="F20" s="479">
        <v>5.0</v>
      </c>
      <c r="G20" s="480" t="s">
        <v>19</v>
      </c>
      <c r="H20" s="402"/>
      <c r="I20" s="409" t="s">
        <v>19</v>
      </c>
    </row>
    <row r="21">
      <c r="A21" s="478" t="s">
        <v>68</v>
      </c>
      <c r="B21" s="50">
        <v>11.0</v>
      </c>
      <c r="C21" s="479" t="s">
        <v>567</v>
      </c>
      <c r="D21" s="50" t="s">
        <v>448</v>
      </c>
      <c r="E21" s="479">
        <v>4.0</v>
      </c>
      <c r="F21" s="479">
        <v>10.0</v>
      </c>
      <c r="G21" s="480" t="s">
        <v>26</v>
      </c>
      <c r="H21" s="402"/>
      <c r="I21" s="409" t="s">
        <v>26</v>
      </c>
    </row>
    <row r="22">
      <c r="A22" s="478" t="s">
        <v>68</v>
      </c>
      <c r="B22" s="491">
        <v>12.0</v>
      </c>
      <c r="C22" s="479" t="s">
        <v>601</v>
      </c>
      <c r="D22" s="50" t="s">
        <v>537</v>
      </c>
      <c r="E22" s="479">
        <v>6.0</v>
      </c>
      <c r="F22" s="479">
        <v>1.0</v>
      </c>
      <c r="G22" s="480" t="s">
        <v>19</v>
      </c>
      <c r="H22" s="402"/>
      <c r="I22" s="409" t="s">
        <v>19</v>
      </c>
    </row>
    <row r="23">
      <c r="A23" s="478" t="s">
        <v>68</v>
      </c>
      <c r="B23" s="491">
        <v>20.0</v>
      </c>
      <c r="C23" s="479" t="s">
        <v>602</v>
      </c>
      <c r="D23" s="50" t="s">
        <v>448</v>
      </c>
      <c r="E23" s="479">
        <v>4.0</v>
      </c>
      <c r="F23" s="479">
        <v>7.0</v>
      </c>
      <c r="G23" s="480" t="s">
        <v>26</v>
      </c>
      <c r="H23" s="402"/>
      <c r="I23" s="409" t="s">
        <v>26</v>
      </c>
    </row>
    <row r="24">
      <c r="A24" s="478" t="s">
        <v>68</v>
      </c>
      <c r="B24" s="491">
        <v>27.0</v>
      </c>
      <c r="C24" s="479" t="s">
        <v>543</v>
      </c>
      <c r="D24" s="50" t="s">
        <v>537</v>
      </c>
      <c r="E24" s="479">
        <v>3.0</v>
      </c>
      <c r="F24" s="479">
        <v>3.0</v>
      </c>
      <c r="G24" s="480" t="s">
        <v>73</v>
      </c>
      <c r="H24" s="402"/>
      <c r="I24" s="409" t="s">
        <v>73</v>
      </c>
    </row>
    <row r="25">
      <c r="A25" s="405" t="s">
        <v>74</v>
      </c>
      <c r="B25" s="454">
        <v>4.0</v>
      </c>
      <c r="C25" s="408" t="s">
        <v>554</v>
      </c>
      <c r="D25" s="409" t="s">
        <v>448</v>
      </c>
      <c r="E25" s="408">
        <v>7.0</v>
      </c>
      <c r="F25" s="408">
        <v>1.0</v>
      </c>
      <c r="G25" s="411" t="s">
        <v>19</v>
      </c>
      <c r="H25" s="402"/>
      <c r="I25" s="409" t="s">
        <v>19</v>
      </c>
    </row>
    <row r="26">
      <c r="A26" s="523" t="s">
        <v>382</v>
      </c>
      <c r="B26" s="535">
        <v>6.0</v>
      </c>
      <c r="C26" s="525" t="s">
        <v>603</v>
      </c>
      <c r="D26" s="524" t="s">
        <v>448</v>
      </c>
      <c r="E26" s="525">
        <v>1.0</v>
      </c>
      <c r="F26" s="525">
        <v>6.0</v>
      </c>
      <c r="G26" s="526" t="s">
        <v>26</v>
      </c>
      <c r="H26" s="402"/>
      <c r="I26" s="16"/>
    </row>
    <row r="27">
      <c r="A27" s="405" t="s">
        <v>74</v>
      </c>
      <c r="B27" s="454">
        <v>8.0</v>
      </c>
      <c r="C27" s="408" t="s">
        <v>347</v>
      </c>
      <c r="D27" s="409" t="s">
        <v>448</v>
      </c>
      <c r="E27" s="408">
        <v>7.0</v>
      </c>
      <c r="F27" s="408">
        <v>0.0</v>
      </c>
      <c r="G27" s="411" t="s">
        <v>19</v>
      </c>
      <c r="H27" s="402"/>
      <c r="I27" s="409" t="s">
        <v>19</v>
      </c>
    </row>
    <row r="28">
      <c r="A28" s="405" t="s">
        <v>74</v>
      </c>
      <c r="B28" s="454">
        <v>12.0</v>
      </c>
      <c r="C28" s="255" t="s">
        <v>599</v>
      </c>
      <c r="D28" s="409" t="s">
        <v>448</v>
      </c>
      <c r="E28" s="408">
        <v>7.0</v>
      </c>
      <c r="F28" s="408">
        <v>12.0</v>
      </c>
      <c r="G28" s="411" t="s">
        <v>26</v>
      </c>
      <c r="H28" s="402"/>
      <c r="I28" s="409" t="s">
        <v>26</v>
      </c>
    </row>
    <row r="29">
      <c r="A29" s="405" t="s">
        <v>74</v>
      </c>
      <c r="B29" s="454">
        <v>16.0</v>
      </c>
      <c r="C29" s="408" t="s">
        <v>474</v>
      </c>
      <c r="D29" s="409" t="s">
        <v>537</v>
      </c>
      <c r="E29" s="408">
        <v>4.0</v>
      </c>
      <c r="F29" s="408">
        <v>5.0</v>
      </c>
      <c r="G29" s="411" t="s">
        <v>26</v>
      </c>
      <c r="H29" s="402"/>
      <c r="I29" s="409" t="s">
        <v>26</v>
      </c>
    </row>
    <row r="30">
      <c r="A30" s="523" t="s">
        <v>382</v>
      </c>
      <c r="B30" s="535">
        <v>17.0</v>
      </c>
      <c r="C30" s="525" t="s">
        <v>577</v>
      </c>
      <c r="D30" s="524" t="s">
        <v>448</v>
      </c>
      <c r="E30" s="525">
        <v>3.0</v>
      </c>
      <c r="F30" s="525">
        <v>16.0</v>
      </c>
      <c r="G30" s="526" t="s">
        <v>26</v>
      </c>
      <c r="H30" s="402"/>
      <c r="I30" s="16"/>
    </row>
    <row r="31">
      <c r="A31" s="405" t="s">
        <v>74</v>
      </c>
      <c r="B31" s="454">
        <v>24.0</v>
      </c>
      <c r="C31" s="255" t="s">
        <v>604</v>
      </c>
      <c r="D31" s="409" t="s">
        <v>537</v>
      </c>
      <c r="E31" s="408">
        <v>4.0</v>
      </c>
      <c r="F31" s="408">
        <v>9.0</v>
      </c>
      <c r="G31" s="411" t="s">
        <v>26</v>
      </c>
      <c r="H31" s="402"/>
      <c r="I31" s="409" t="s">
        <v>26</v>
      </c>
    </row>
    <row r="32">
      <c r="A32" s="435" t="s">
        <v>106</v>
      </c>
      <c r="B32" s="468">
        <v>1.0</v>
      </c>
      <c r="C32" s="439" t="s">
        <v>475</v>
      </c>
      <c r="D32" s="438" t="s">
        <v>448</v>
      </c>
      <c r="E32" s="439">
        <v>6.0</v>
      </c>
      <c r="F32" s="439">
        <v>7.0</v>
      </c>
      <c r="G32" s="440" t="s">
        <v>26</v>
      </c>
      <c r="H32" s="402"/>
      <c r="I32" s="409" t="s">
        <v>26</v>
      </c>
    </row>
    <row r="33">
      <c r="A33" s="374" t="s">
        <v>419</v>
      </c>
      <c r="B33" s="132"/>
      <c r="C33" s="132"/>
      <c r="D33" s="375" t="s">
        <v>314</v>
      </c>
      <c r="E33" s="377">
        <f t="shared" ref="E33:F33" si="1">SUM(E7:E32)</f>
        <v>116</v>
      </c>
      <c r="F33" s="377">
        <f t="shared" si="1"/>
        <v>139</v>
      </c>
      <c r="G33" s="378"/>
      <c r="H33" s="383"/>
      <c r="I33" s="476"/>
    </row>
  </sheetData>
  <mergeCells count="2">
    <mergeCell ref="A5:G6"/>
    <mergeCell ref="A33:C33"/>
  </mergeCells>
  <drawing r:id="rId1"/>
</worksheet>
</file>